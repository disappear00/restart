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5bd53c5ad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33e5116495a4fd0"/>
    <x:sheet xmlns:r="http://schemas.openxmlformats.org/officeDocument/2006/relationships" name="Habits" sheetId="2" r:id="R9e2c3ee3f0f542e8"/>
    <x:sheet xmlns:r="http://schemas.openxmlformats.org/officeDocument/2006/relationships" name="Learning" sheetId="3" r:id="R6de81fd1bd4c43cb"/>
    <x:sheet xmlns:r="http://schemas.openxmlformats.org/officeDocument/2006/relationships" name="Savings" sheetId="4" r:id="R61b8b2d3cecc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&quot; h&quot;"/>
    <x:numFmt numFmtId="202" formatCode="0.0%"/>
    <x:numFmt numFmtId="203" formatCode="#,##0&quot; h&quot;"/>
    <x:numFmt numFmtId="204" formatCode="0.0"/>
    <x:numFmt numFmtId="205" formatCode="&quot;$&quot;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1E3A8A"/>
      <x:name val="Carlito"/>
    </x:font>
    <x:font>
      <x:b/>
      <x:sz val="20"/>
      <x:color rgb="FF0F172A"/>
      <x:name val="Carlito"/>
    </x:font>
    <x:font>
      <x:sz val="9"/>
      <x:color rgb="FF64748B"/>
      <x:name val="Carlito"/>
    </x:font>
    <x:font>
      <x:b/>
      <x:sz val="11"/>
      <x:color rgb="FF0F172A"/>
      <x:name val="Carlito"/>
    </x:font>
    <x:font>
      <x:sz val="11"/>
      <x:color rgb="FF334155"/>
      <x:name val="Carlito"/>
    </x:font>
    <x:font>
      <x:sz val="10"/>
      <x:color rgb="FF47556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  <x:fill>
      <x:patternFill patternType="solid">
        <x:fgColor rgb="FFE0F2FE"/>
      </x:patternFill>
    </x:fill>
    <x:fill>
      <x:patternFill patternType="solid">
        <x:fgColor rgb="FFFFFFFF"/>
      </x:patternFill>
    </x:fill>
  </x:fills>
  <x:borders count="21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3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201" fontId="4" fillId="4" borderId="3" xfId="0" applyNumberFormat="1" applyFont="1" applyFill="1" applyBorder="1"/>
    <x:xf numFmtId="201" fontId="4" fillId="4" borderId="4" xfId="0" applyNumberFormat="1" applyFont="1" applyFill="1" applyBorder="1"/>
    <x:xf numFmtId="201" fontId="4" fillId="4" borderId="3" xfId="0" applyNumberFormat="1" applyFont="1" applyFill="1" applyBorder="1" applyAlignment="1">
      <x:alignment horizontal="center"/>
    </x:xf>
    <x:xf numFmtId="201" fontId="4" fillId="4" borderId="4" xfId="0" applyNumberFormat="1" applyFont="1" applyFill="1" applyBorder="1" applyAlignment="1">
      <x:alignment horizontal="center"/>
    </x:xf>
    <x:xf numFmtId="201" fontId="4" fillId="4" borderId="3" xfId="0" applyNumberFormat="1" applyFont="1" applyFill="1" applyBorder="1" applyAlignment="1">
      <x:alignment horizontal="center" vertical="center"/>
    </x:xf>
    <x:xf numFmtId="201" fontId="4" fillId="4" borderId="4" xfId="0" applyNumberFormat="1" applyFont="1" applyFill="1" applyBorder="1" applyAlignment="1">
      <x:alignment horizontal="center" vertical="center"/>
    </x:xf>
    <x:xf numFmtId="202" fontId="4" fillId="4" borderId="3" xfId="0" applyNumberFormat="1" applyFont="1" applyFill="1" applyBorder="1"/>
    <x:xf numFmtId="202" fontId="4" fillId="4" borderId="4" xfId="0" applyNumberFormat="1" applyFont="1" applyFill="1" applyBorder="1"/>
    <x:xf numFmtId="202" fontId="4" fillId="4" borderId="3" xfId="0" applyNumberFormat="1" applyFont="1" applyFill="1" applyBorder="1" applyAlignment="1">
      <x:alignment horizontal="center"/>
    </x:xf>
    <x:xf numFmtId="202" fontId="4" fillId="4" borderId="4" xfId="0" applyNumberFormat="1" applyFont="1" applyFill="1" applyBorder="1" applyAlignment="1">
      <x:alignment horizontal="center"/>
    </x:xf>
    <x:xf numFmtId="202" fontId="4" fillId="4" borderId="3" xfId="0" applyNumberFormat="1" applyFont="1" applyFill="1" applyBorder="1" applyAlignment="1">
      <x:alignment horizontal="center" vertical="center"/>
    </x:xf>
    <x:xf numFmtId="202" fontId="4" fillId="4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6" borderId="7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203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6" fillId="7" borderId="7" xfId="0" applyNumberFormat="1" applyFont="1" applyFill="1" applyBorder="1" applyAlignment="1">
      <x:alignment horizontal="center" vertical="center"/>
    </x:xf>
    <x:xf numFmtId="0" fontId="0" fillId="7" borderId="7" xfId="0" applyNumberFormat="1" applyFont="1" applyFill="1" applyBorder="1"/>
    <x:xf numFmtId="203" fontId="0" fillId="7" borderId="7" xfId="0" applyNumberFormat="1" applyFont="1" applyFill="1" applyBorder="1"/>
    <x:xf numFmtId="202" fontId="0" fillId="7" borderId="7" xfId="0" applyNumberFormat="1" applyFont="1" applyFill="1" applyBorder="1"/>
    <x:xf numFmtId="0" fontId="6" fillId="7" borderId="8" xfId="0" applyNumberFormat="1" applyFont="1" applyFill="1" applyBorder="1" applyAlignment="1">
      <x:alignment horizontal="center" vertical="center"/>
    </x:xf>
    <x:xf numFmtId="0" fontId="6" fillId="7" borderId="9" xfId="0" applyNumberFormat="1" applyFont="1" applyFill="1" applyBorder="1" applyAlignment="1">
      <x:alignment horizontal="center" vertical="center"/>
    </x:xf>
    <x:xf numFmtId="0" fontId="6" fillId="7" borderId="10" xfId="0" applyNumberFormat="1" applyFont="1" applyFill="1" applyBorder="1" applyAlignment="1">
      <x:alignment horizontal="center" vertical="center"/>
    </x:xf>
    <x:xf numFmtId="0" fontId="0" fillId="7" borderId="11" xfId="0" applyNumberFormat="1" applyFont="1" applyFill="1" applyBorder="1"/>
    <x:xf numFmtId="202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203" fontId="0" fillId="7" borderId="14" xfId="0" applyNumberFormat="1" applyFont="1" applyFill="1" applyBorder="1"/>
    <x:xf numFmtId="202" fontId="0" fillId="7" borderId="15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6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17" xfId="0" applyNumberFormat="1" applyFont="1" applyFill="1" applyBorder="1"/>
    <x:xf numFmtId="0" fontId="8" fillId="4" borderId="6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6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4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wrapText="1"/>
    </x:xf>
    <x:xf numFmtId="0" fontId="8" fillId="4" borderId="17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4" borderId="16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8" fillId="4" borderId="17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6" fillId="7" borderId="18" xfId="0" applyNumberFormat="1" applyFont="1" applyFill="1" applyBorder="1"/>
    <x:xf numFmtId="0" fontId="6" fillId="7" borderId="19" xfId="0" applyNumberFormat="1" applyFont="1" applyFill="1" applyBorder="1"/>
    <x:xf numFmtId="0" fontId="6" fillId="7" borderId="20" xfId="0" applyNumberFormat="1" applyFont="1" applyFill="1" applyBorder="1"/>
    <x:xf numFmtId="204" fontId="6" fillId="7" borderId="18" xfId="0" applyNumberFormat="1" applyFont="1" applyFill="1" applyBorder="1"/>
    <x:xf numFmtId="204" fontId="6" fillId="7" borderId="19" xfId="0" applyNumberFormat="1" applyFont="1" applyFill="1" applyBorder="1"/>
    <x:xf numFmtId="200" fontId="6" fillId="7" borderId="20" xfId="0" applyNumberFormat="1" applyFont="1" applyFill="1" applyBorder="1"/>
    <x:xf numFmtId="204" fontId="6" fillId="7" borderId="18" xfId="0" applyNumberFormat="1" applyFont="1" applyFill="1" applyBorder="1" applyAlignment="1">
      <x:alignment horizontal="center"/>
    </x:xf>
    <x:xf numFmtId="204" fontId="6" fillId="7" borderId="19" xfId="0" applyNumberFormat="1" applyFont="1" applyFill="1" applyBorder="1" applyAlignment="1">
      <x:alignment horizontal="center"/>
    </x:xf>
    <x:xf numFmtId="200" fontId="6" fillId="7" borderId="20" xfId="0" applyNumberFormat="1" applyFont="1" applyFill="1" applyBorder="1" applyAlignment="1">
      <x:alignment horizontal="center"/>
    </x:xf>
    <x:xf numFmtId="0" fontId="6" fillId="7" borderId="18" xfId="0" applyNumberFormat="1" applyFont="1" applyFill="1" applyBorder="1" applyAlignment="1">
      <x:alignment horizontal="center"/>
    </x:xf>
    <x:xf numFmtId="0" fontId="6" fillId="7" borderId="19" xfId="0" applyNumberFormat="1" applyFont="1" applyFill="1" applyBorder="1" applyAlignment="1">
      <x:alignment horizontal="center"/>
    </x:xf>
    <x:xf numFmtId="0" fontId="6" fillId="7" borderId="20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7" xfId="0" applyNumberFormat="1" applyFont="1" applyFill="1" applyBorder="1"/>
    <x:xf numFmtId="205" fontId="0" fillId="7" borderId="0" xfId="0" applyNumberFormat="1" applyFont="1" applyFill="1" applyBorder="1"/>
    <x:xf numFmtId="202" fontId="0" fillId="7" borderId="0" xfId="0" applyNumberFormat="1" applyFont="1" applyFill="1" applyBorder="1"/>
    <x:xf numFmtId="205" fontId="6" fillId="7" borderId="0" xfId="0" applyNumberFormat="1" applyFont="1" applyFill="1" applyBorder="1"/>
    <x:xf numFmtId="202" fontId="6" fillId="7" borderId="0" xfId="0" applyNumberFormat="1" applyFont="1" applyFill="1" applyBorder="1"/>
    <x:xf numFmtId="205" fontId="6" fillId="7" borderId="18" xfId="0" applyNumberFormat="1" applyFont="1" applyFill="1" applyBorder="1"/>
    <x:xf numFmtId="205" fontId="6" fillId="7" borderId="19" xfId="0" applyNumberFormat="1" applyFont="1" applyFill="1" applyBorder="1"/>
    <x:xf numFmtId="202" fontId="6" fillId="7" borderId="20" xfId="0" applyNumberFormat="1" applyFont="1" applyFill="1" applyBorder="1"/>
    <x:xf numFmtId="205" fontId="6" fillId="7" borderId="18" xfId="0" applyNumberFormat="1" applyFont="1" applyFill="1" applyBorder="1" applyAlignment="1">
      <x:alignment horizontal="center"/>
    </x:xf>
    <x:xf numFmtId="205" fontId="6" fillId="7" borderId="19" xfId="0" applyNumberFormat="1" applyFont="1" applyFill="1" applyBorder="1" applyAlignment="1">
      <x:alignment horizontal="center"/>
    </x:xf>
    <x:xf numFmtId="202" fontId="6" fillId="7" borderId="2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4b800996b4e8c" /><Relationship Type="http://schemas.openxmlformats.org/officeDocument/2006/relationships/theme" Target="/xl/theme/theme1.xml" Id="Rc1e2894c36d346ae" /><Relationship Type="http://schemas.openxmlformats.org/officeDocument/2006/relationships/sharedStrings" Target="/xl/sharedStrings.xml" Id="R37544381ca8048ac" /><Relationship Type="http://schemas.openxmlformats.org/officeDocument/2006/relationships/worksheet" Target="/xl/worksheets/sheet1.xml" Id="Rd33e5116495a4fd0" /><Relationship Type="http://schemas.openxmlformats.org/officeDocument/2006/relationships/worksheet" Target="/xl/worksheets/sheet2.xml" Id="R9e2c3ee3f0f542e8" /><Relationship Type="http://schemas.openxmlformats.org/officeDocument/2006/relationships/worksheet" Target="/xl/worksheets/sheet3.xml" Id="R6de81fd1bd4c43cb" /><Relationship Type="http://schemas.openxmlformats.org/officeDocument/2006/relationships/worksheet" Target="/xl/worksheets/sheet4.xml" Id="R61b8b2d3cecc47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375d0a8fd849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月度习惯达成率</a:t>
            </a:r>
          </a:p>
        </c:rich>
      </c:tx>
    </c:title>
    <c:plotArea>
      <c:lineChart>
        <c:grouping val="standard"/>
        <c:ser>
          <c:idx val="0"/>
          <c:order val="0"/>
          <c:tx>
            <c:v>Habit Score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'Dashboard'!$B$11:$B$22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4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375d0a8fd849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bc4b94e9ba4f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32.25" hidden="0" customWidth="1"/>
    <x:col min="6" max="6" width="16" hidden="0" customWidth="1"/>
    <x:col min="7" max="7" width="16" hidden="0" customWidth="1"/>
    <x:col min="8" max="8" width="16" hidden="0" customWidth="1"/>
    <x:col min="9" max="9" width="32.25" hidden="0" customWidth="1"/>
  </x:cols>
  <x:sheetData>
    <x:row r="1" ht="26" customHeight="1">
      <x:c r="A1" s="4" t="str">
        <x:v>2026 个人成长驾驶舱</x:v>
      </x:c>
      <x:c r="B1" s="4" t="str">
        <x:v>2026 个人成长驾驶舱</x:v>
      </x:c>
      <x:c r="C1" s="4" t="str">
        <x:v>2026 个人成长驾驶舱</x:v>
      </x:c>
      <x:c r="D1" s="4" t="str">
        <x:v>2026 个人成长驾驶舱</x:v>
      </x:c>
      <x:c r="E1" s="4" t="str">
        <x:v>2026 个人成长驾驶舱</x:v>
      </x:c>
      <x:c r="F1" s="4" t="str">
        <x:v>2026 个人成长驾驶舱</x:v>
      </x:c>
      <x:c r="G1" s="4" t="str">
        <x:v>2026 个人成长驾驶舱</x:v>
      </x:c>
      <x:c r="H1" s="4" t="str">
        <x:v>2026 个人成长驾驶舱</x:v>
      </x:c>
      <x:c r="I1" s="4" t="str">
        <x:v>2026 个人成长驾驶舱</x:v>
      </x:c>
    </x:row>
    <x:row r="2" ht="26" customHeight="1">
      <x:c r="A2" s="8" t="str">
        <x:v>把习惯、学习和储蓄放进同一个年度仪表盘</x:v>
      </x:c>
      <x:c r="B2" s="8" t="str">
        <x:v>把习惯、学习和储蓄放进同一个年度仪表盘</x:v>
      </x:c>
      <x:c r="C2" s="8" t="str">
        <x:v>把习惯、学习和储蓄放进同一个年度仪表盘</x:v>
      </x:c>
      <x:c r="D2" s="8" t="str">
        <x:v>把习惯、学习和储蓄放进同一个年度仪表盘</x:v>
      </x:c>
      <x:c r="E2" s="8" t="str">
        <x:v>把习惯、学习和储蓄放进同一个年度仪表盘</x:v>
      </x:c>
      <x:c r="F2" s="8" t="str">
        <x:v>把习惯、学习和储蓄放进同一个年度仪表盘</x:v>
      </x:c>
      <x:c r="G2" s="8" t="str">
        <x:v>把习惯、学习和储蓄放进同一个年度仪表盘</x:v>
      </x:c>
      <x:c r="H2" s="8" t="str">
        <x:v>把习惯、学习和储蓄放进同一个年度仪表盘</x:v>
      </x:c>
      <x:c r="I2" s="8" t="str">
        <x:v>把习惯、学习和储蓄放进同一个年度仪表盘</x:v>
      </x:c>
    </x:row>
    <x:row r="4" ht="26" customHeight="1">
      <x:c r="A4" s="22" t="str">
        <x:v>年度习惯均分</x:v>
      </x:c>
      <x:c r="B4" s="23" t="str">
        <x:v>年度习惯均分</x:v>
      </x:c>
      <x:c r="C4" s="22" t="str">
        <x:v>全年学习时长</x:v>
      </x:c>
      <x:c r="D4" s="23" t="str">
        <x:v>全年学习时长</x:v>
      </x:c>
      <x:c r="E4" s="22" t="str">
        <x:v>完成书籍数量</x:v>
      </x:c>
      <x:c r="F4" s="23" t="str">
        <x:v>完成书籍数量</x:v>
      </x:c>
      <x:c r="G4" s="22" t="str">
        <x:v>全年储蓄率</x:v>
      </x:c>
      <x:c r="H4" s="23" t="str">
        <x:v>全年储蓄率</x:v>
      </x:c>
    </x:row>
    <x:row r="5" ht="26" customHeight="1">
      <x:c r="A5" s="30" t="n">
        <x:f>'Habits'!E17</x:f>
        <x:v>77</x:v>
      </x:c>
      <x:c r="B5" s="31"/>
      <x:c r="C5" s="42" t="n">
        <x:f>'Learning'!E17</x:f>
        <x:v>197</x:v>
      </x:c>
      <x:c r="D5" s="43"/>
      <x:c r="E5" s="30" t="n">
        <x:f>'Learning'!B17</x:f>
        <x:v>16</x:v>
      </x:c>
      <x:c r="F5" s="31"/>
      <x:c r="G5" s="48" t="n">
        <x:f>'Savings'!F17</x:f>
        <x:v>0.3681875792141952</x:v>
      </x:c>
      <x:c r="H5" s="49"/>
    </x:row>
    <x:row r="6" ht="26" customHeight="1">
      <x:c r="A6" s="30"/>
      <x:c r="B6" s="31"/>
      <x:c r="C6" s="42"/>
      <x:c r="D6" s="43"/>
      <x:c r="E6" s="30"/>
      <x:c r="F6" s="31"/>
      <x:c r="G6" s="48"/>
      <x:c r="H6" s="49"/>
    </x:row>
    <x:row r="7" ht="26" customHeight="1">
      <x:c r="A7" s="36" t="str">
        <x:v>数据会随下方工作表自动更新</x:v>
      </x:c>
      <x:c r="B7" s="37" t="str">
        <x:v>数据会随下方工作表自动更新</x:v>
      </x:c>
      <x:c r="C7" s="36" t="str">
        <x:v>数据会随下方工作表自动更新</x:v>
      </x:c>
      <x:c r="D7" s="37" t="str">
        <x:v>数据会随下方工作表自动更新</x:v>
      </x:c>
      <x:c r="E7" s="36" t="str">
        <x:v>数据会随下方工作表自动更新</x:v>
      </x:c>
      <x:c r="F7" s="37" t="str">
        <x:v>数据会随下方工作表自动更新</x:v>
      </x:c>
      <x:c r="G7" s="36" t="str">
        <x:v>建议目标 &gt;= 25%</x:v>
      </x:c>
      <x:c r="H7" s="37" t="str">
        <x:v>建议目标 &gt;= 25%</x:v>
      </x:c>
    </x:row>
    <x:row r="8" ht="26" customHeight="1">
      <x:c r="A8" s="14"/>
      <x:c r="B8" s="15"/>
      <x:c r="C8" s="14"/>
      <x:c r="D8" s="15"/>
      <x:c r="E8" s="14"/>
      <x:c r="F8" s="15"/>
      <x:c r="G8" s="14"/>
      <x:c r="H8" s="15"/>
    </x:row>
    <x:row r="10" ht="24" customHeight="1">
      <x:c r="A10" s="64" t="str">
        <x:v>Month</x:v>
      </x:c>
      <x:c r="B10" s="65" t="str">
        <x:v>Habit Score</x:v>
      </x:c>
      <x:c r="C10" s="65" t="str">
        <x:v>Learning Hours</x:v>
      </x:c>
      <x:c r="D10" s="66" t="str">
        <x:v>Savings Rate</x:v>
      </x:c>
      <x:c r="F10" s="64" t="str">
        <x:v>本季度主题</x:v>
      </x:c>
      <x:c r="G10" s="65" t="str">
        <x:v>本季度主题</x:v>
      </x:c>
      <x:c r="H10" s="66" t="str">
        <x:v>本季度主题</x:v>
      </x:c>
    </x:row>
    <x:row r="11" ht="24" customHeight="1">
      <x:c r="A11" s="67" t="str">
        <x:v>Jan</x:v>
      </x:c>
      <x:c r="B11" s="61" t="n">
        <x:f>'Habits'!E4</x:f>
        <x:v>65</x:v>
      </x:c>
      <x:c r="C11" s="62" t="n">
        <x:f>'Learning'!E4</x:f>
        <x:v>13</x:v>
      </x:c>
      <x:c r="D11" s="68" t="n">
        <x:f>'Savings'!F4</x:f>
        <x:v>0.35833333333333334</x:v>
      </x:c>
      <x:c r="F11" s="78" t="str">
        <x:v>Q1</x:v>
      </x:c>
      <x:c r="G11" s="77" t="str">
        <x:v>先建立稳定节奏</x:v>
      </x:c>
      <x:c r="H11" s="79" t="str">
        <x:v>运动和睡眠优先</x:v>
      </x:c>
    </x:row>
    <x:row r="12" ht="24" customHeight="1">
      <x:c r="A12" s="67" t="str">
        <x:v>Feb</x:v>
      </x:c>
      <x:c r="B12" s="61" t="n">
        <x:f>'Habits'!E5</x:f>
        <x:v>73</x:v>
      </x:c>
      <x:c r="C12" s="62" t="n">
        <x:f>'Learning'!E5</x:f>
        <x:v>16</x:v>
      </x:c>
      <x:c r="D12" s="68" t="n">
        <x:f>'Savings'!F5</x:f>
        <x:v>0.36666666666666664</x:v>
      </x:c>
      <x:c r="F12" s="78" t="str">
        <x:v>Q2</x:v>
      </x:c>
      <x:c r="G12" s="77" t="str">
        <x:v>把学习时间做厚</x:v>
      </x:c>
      <x:c r="H12" s="79" t="str">
        <x:v>集中在输出能力</x:v>
      </x:c>
    </x:row>
    <x:row r="13" ht="24" customHeight="1">
      <x:c r="A13" s="67" t="str">
        <x:v>Mar</x:v>
      </x:c>
      <x:c r="B13" s="61" t="n">
        <x:f>'Habits'!E6</x:f>
        <x:v>82</x:v>
      </x:c>
      <x:c r="C13" s="62" t="n">
        <x:f>'Learning'!E6</x:f>
        <x:v>18</x:v>
      </x:c>
      <x:c r="D13" s="68" t="n">
        <x:f>'Savings'!F6</x:f>
        <x:v>0.375</x:v>
      </x:c>
      <x:c r="F13" s="78" t="str">
        <x:v>Q3</x:v>
      </x:c>
      <x:c r="G13" s="77" t="str">
        <x:v>防止暑期滑坡</x:v>
      </x:c>
      <x:c r="H13" s="79" t="str">
        <x:v>缩短任务但不断线</x:v>
      </x:c>
    </x:row>
    <x:row r="14" ht="24" customHeight="1">
      <x:c r="A14" s="67" t="str">
        <x:v>Apr</x:v>
      </x:c>
      <x:c r="B14" s="61" t="n">
        <x:f>'Habits'!E7</x:f>
        <x:v>71</x:v>
      </x:c>
      <x:c r="C14" s="62" t="n">
        <x:f>'Learning'!E7</x:f>
        <x:v>14</x:v>
      </x:c>
      <x:c r="D14" s="68" t="n">
        <x:f>'Savings'!F7</x:f>
        <x:v>0.359375</x:v>
      </x:c>
      <x:c r="F14" s="80" t="str">
        <x:v>Q4</x:v>
      </x:c>
      <x:c r="G14" s="81" t="str">
        <x:v>冲刺复盘闭环</x:v>
      </x:c>
      <x:c r="H14" s="82" t="str">
        <x:v>把成果收束成作品</x:v>
      </x:c>
    </x:row>
    <x:row r="15" ht="24" customHeight="1">
      <x:c r="A15" s="67" t="str">
        <x:v>May</x:v>
      </x:c>
      <x:c r="B15" s="61" t="n">
        <x:f>'Habits'!E8</x:f>
        <x:v>87</x:v>
      </x:c>
      <x:c r="C15" s="62" t="n">
        <x:f>'Learning'!E8</x:f>
        <x:v>20</x:v>
      </x:c>
      <x:c r="D15" s="68" t="n">
        <x:f>'Savings'!F8</x:f>
        <x:v>0.3787878787878788</x:v>
      </x:c>
    </x:row>
    <x:row r="16" ht="24" customHeight="1">
      <x:c r="A16" s="67" t="str">
        <x:v>Jun</x:v>
      </x:c>
      <x:c r="B16" s="61" t="n">
        <x:f>'Habits'!E9</x:f>
        <x:v>78</x:v>
      </x:c>
      <x:c r="C16" s="62" t="n">
        <x:f>'Learning'!E9</x:f>
        <x:v>17</x:v>
      </x:c>
      <x:c r="D16" s="68" t="n">
        <x:f>'Savings'!F9</x:f>
        <x:v>0.36363636363636365</x:v>
      </x:c>
    </x:row>
    <x:row r="17" ht="24" customHeight="1">
      <x:c r="A17" s="67" t="str">
        <x:v>Jul</x:v>
      </x:c>
      <x:c r="B17" s="61" t="n">
        <x:f>'Habits'!E10</x:f>
        <x:v>59</x:v>
      </x:c>
      <x:c r="C17" s="62" t="n">
        <x:f>'Learning'!E10</x:f>
        <x:v>11</x:v>
      </x:c>
      <x:c r="D17" s="68" t="n">
        <x:f>'Savings'!F10</x:f>
        <x:v>0.328</x:v>
      </x:c>
    </x:row>
    <x:row r="18" ht="24" customHeight="1">
      <x:c r="A18" s="67" t="str">
        <x:v>Aug</x:v>
      </x:c>
      <x:c r="B18" s="61" t="n">
        <x:f>'Habits'!E11</x:f>
        <x:v>71</x:v>
      </x:c>
      <x:c r="C18" s="62" t="n">
        <x:f>'Learning'!E11</x:f>
        <x:v>14</x:v>
      </x:c>
      <x:c r="D18" s="68" t="n">
        <x:f>'Savings'!F11</x:f>
        <x:v>0.36</x:v>
      </x:c>
    </x:row>
    <x:row r="19" ht="24" customHeight="1">
      <x:c r="A19" s="67" t="str">
        <x:v>Sep</x:v>
      </x:c>
      <x:c r="B19" s="61" t="n">
        <x:f>'Habits'!E12</x:f>
        <x:v>82</x:v>
      </x:c>
      <x:c r="C19" s="62" t="n">
        <x:f>'Learning'!E12</x:f>
        <x:v>19</x:v>
      </x:c>
      <x:c r="D19" s="68" t="n">
        <x:f>'Savings'!F12</x:f>
        <x:v>0.391304347826087</x:v>
      </x:c>
    </x:row>
    <x:row r="20" ht="24" customHeight="1">
      <x:c r="A20" s="67" t="str">
        <x:v>Oct</x:v>
      </x:c>
      <x:c r="B20" s="61" t="n">
        <x:f>'Habits'!E13</x:f>
        <x:v>90</x:v>
      </x:c>
      <x:c r="C20" s="62" t="n">
        <x:f>'Learning'!E13</x:f>
        <x:v>22</x:v>
      </x:c>
      <x:c r="D20" s="68" t="n">
        <x:f>'Savings'!F13</x:f>
        <x:v>0.3695652173913043</x:v>
      </x:c>
    </x:row>
    <x:row r="21" ht="24" customHeight="1">
      <x:c r="A21" s="67" t="str">
        <x:v>Nov</x:v>
      </x:c>
      <x:c r="B21" s="61" t="n">
        <x:f>'Habits'!E14</x:f>
        <x:v>78</x:v>
      </x:c>
      <x:c r="C21" s="62" t="n">
        <x:f>'Learning'!E14</x:f>
        <x:v>16</x:v>
      </x:c>
      <x:c r="D21" s="68" t="n">
        <x:f>'Savings'!F14</x:f>
        <x:v>0.3732394366197183</x:v>
      </x:c>
    </x:row>
    <x:row r="22" ht="24" customHeight="1">
      <x:c r="A22" s="69" t="str">
        <x:v>Dec</x:v>
      </x:c>
      <x:c r="B22" s="70" t="n">
        <x:f>'Habits'!E15</x:f>
        <x:v>84</x:v>
      </x:c>
      <x:c r="C22" s="71" t="n">
        <x:f>'Learning'!E15</x:f>
        <x:v>17</x:v>
      </x:c>
      <x:c r="D22" s="72" t="n">
        <x:f>'Savings'!F15</x:f>
        <x:v>0.38666666666666666</x:v>
      </x:c>
    </x:row>
    <x:row r="25">
      <x:c r="A25" s="101" t="str">
        <x:v>主题设定: 这一版不是单纯记账表，而是一个“生活经营面板”。</x:v>
      </x:c>
      <x:c r="B25" s="102"/>
      <x:c r="C25" s="102"/>
      <x:c r="D25" s="102"/>
      <x:c r="E25" s="102"/>
      <x:c r="F25" s="102"/>
      <x:c r="G25" s="102"/>
      <x:c r="H25" s="102"/>
      <x:c r="I25" s="103"/>
    </x:row>
    <x:row r="26">
      <x:c r="A26" s="104" t="str">
        <x:v>使用方式: 每个月只需要更新 3 张数据表，首页会自动刷新。</x:v>
      </x:c>
      <x:c r="B26" s="105"/>
      <x:c r="C26" s="105"/>
      <x:c r="D26" s="105"/>
      <x:c r="E26" s="105"/>
      <x:c r="F26" s="105"/>
      <x:c r="G26" s="105"/>
      <x:c r="H26" s="105"/>
      <x:c r="I26" s="106"/>
    </x:row>
    <x:row r="27">
      <x:c r="A27" s="107" t="str">
        <x:v>适合后续继续扩展: 可以再加旅行、项目、健康体检等模块。</x:v>
      </x:c>
      <x:c r="B27" s="108"/>
      <x:c r="C27" s="108"/>
      <x:c r="D27" s="108"/>
      <x:c r="E27" s="108"/>
      <x:c r="F27" s="108"/>
      <x:c r="G27" s="108"/>
      <x:c r="H27" s="108"/>
      <x:c r="I27" s="109"/>
    </x:row>
  </x:sheetData>
  <x:mergeCells>
    <x:mergeCell ref="A1:I1"/>
    <x:mergeCell ref="A2:I2"/>
    <x:mergeCell ref="A4:B4"/>
    <x:mergeCell ref="A5:B6"/>
    <x:mergeCell ref="A7:B7"/>
    <x:mergeCell ref="C4:D4"/>
    <x:mergeCell ref="C5:D6"/>
    <x:mergeCell ref="C7:D7"/>
    <x:mergeCell ref="E4:F4"/>
    <x:mergeCell ref="E5:F6"/>
    <x:mergeCell ref="E7:F7"/>
    <x:mergeCell ref="G4:H4"/>
    <x:mergeCell ref="G5:H6"/>
    <x:mergeCell ref="G7:H7"/>
    <x:mergeCell ref="F10:H10"/>
    <x:mergeCell ref="A25:I25"/>
    <x:mergeCell ref="A26:I26"/>
    <x:mergeCell ref="A27:I27"/>
  </x:mergeCells>
  <x:conditionalFormatting sqref="A10:D22">
    <x:cfRule type="cellIs" dxfId="0" priority="1" operator="greaterThanOrEqual">
      <x:formula>80</x:formula>
    </x:cfRule>
  </x:conditionalFormatting>
  <x:conditionalFormatting sqref="D11:D22">
    <x:cfRule type="dataBar" priority="2">
      <x:dataBar>
        <x:cfvo type="min"/>
        <x:cfvo type="max"/>
        <x:color rgb="FF38BDF8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ebc4b94e9ba4ff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38BDF8"/>
            </x14:dataBar>
          </x14:cfRule>
          <xm:sqref>D11:D22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799991607666" hidden="0" customWidth="1"/>
    <x:col min="2" max="2" width="28.8799991607666" hidden="0" customWidth="1"/>
    <x:col min="3" max="3" width="28.8799991607666" hidden="0" customWidth="1"/>
    <x:col min="4" max="4" width="28.8799991607666" hidden="0" customWidth="1"/>
    <x:col min="5" max="5" width="28.8799991607666" hidden="0" customWidth="1"/>
    <x:col min="6" max="6" width="22" hidden="0" customWidth="1"/>
  </x:cols>
  <x:sheetData>
    <x:row r="1">
      <x:c r="A1" s="4" t="str">
        <x:v>Habits</x:v>
      </x:c>
      <x:c r="B1" s="4" t="str">
        <x:v>Habits</x:v>
      </x:c>
      <x:c r="C1" s="4" t="str">
        <x:v>Habits</x:v>
      </x:c>
      <x:c r="D1" s="4" t="str">
        <x:v>Habits</x:v>
      </x:c>
      <x:c r="E1" s="4" t="str">
        <x:v>Habits</x:v>
      </x:c>
      <x:c r="F1" s="4" t="str">
        <x:v>Habits</x:v>
      </x:c>
    </x:row>
    <x:row r="2">
      <x:c r="A2" s="8" t="str">
        <x:v>每个月记录 3 个最影响状态的习惯指标</x:v>
      </x:c>
      <x:c r="B2" s="8" t="str">
        <x:v>每个月记录 3 个最影响状态的习惯指标</x:v>
      </x:c>
      <x:c r="C2" s="8" t="str">
        <x:v>每个月记录 3 个最影响状态的习惯指标</x:v>
      </x:c>
      <x:c r="D2" s="8" t="str">
        <x:v>每个月记录 3 个最影响状态的习惯指标</x:v>
      </x:c>
      <x:c r="E2" s="8" t="str">
        <x:v>每个月记录 3 个最影响状态的习惯指标</x:v>
      </x:c>
      <x:c r="F2" s="8" t="str">
        <x:v>每个月记录 3 个最影响状态的习惯指标</x:v>
      </x:c>
    </x:row>
    <x:row r="3" ht="24" customHeight="1">
      <x:c r="A3" s="56" t="str">
        <x:v>Month</x:v>
      </x:c>
      <x:c r="B3" s="56" t="str">
        <x:v>Workout Days</x:v>
      </x:c>
      <x:c r="C3" s="56" t="str">
        <x:v>Sleep 7h Days</x:v>
      </x:c>
      <x:c r="D3" s="56" t="str">
        <x:v>Focus Sessions</x:v>
      </x:c>
      <x:c r="E3" s="56" t="str">
        <x:v>Habit Score</x:v>
      </x:c>
      <x:c r="F3" s="56" t="str">
        <x:v>Reflection</x:v>
      </x:c>
    </x:row>
    <x:row r="4" ht="24" customHeight="1">
      <x:c r="A4" s="57" t="str">
        <x:v>Jan</x:v>
      </x:c>
      <x:c r="B4" s="57" t="n">
        <x:v>10</x:v>
      </x:c>
      <x:c r="C4" s="57" t="n">
        <x:v>18</x:v>
      </x:c>
      <x:c r="D4" s="57" t="n">
        <x:v>11</x:v>
      </x:c>
      <x:c r="E4" s="57" t="n">
        <x:f>ROUND((B4/16*35)+(C4/24*35)+(D4/20*30),0)</x:f>
        <x:v>65</x:v>
      </x:c>
      <x:c r="F4" s="111" t="str">
        <x:v>稳住节奏</x:v>
      </x:c>
    </x:row>
    <x:row r="5" ht="24" customHeight="1">
      <x:c r="A5" s="57" t="str">
        <x:v>Feb</x:v>
      </x:c>
      <x:c r="B5" s="57" t="n">
        <x:v>12</x:v>
      </x:c>
      <x:c r="C5" s="57" t="n">
        <x:v>20</x:v>
      </x:c>
      <x:c r="D5" s="57" t="n">
        <x:v>12</x:v>
      </x:c>
      <x:c r="E5" s="57" t="n">
        <x:f>ROUND((B5/16*35)+(C5/24*35)+(D5/20*30),0)</x:f>
        <x:v>73</x:v>
      </x:c>
      <x:c r="F5" s="111" t="str">
        <x:v>周末别断档</x:v>
      </x:c>
    </x:row>
    <x:row r="6" ht="24" customHeight="1">
      <x:c r="A6" s="57" t="str">
        <x:v>Mar</x:v>
      </x:c>
      <x:c r="B6" s="57" t="n">
        <x:v>13</x:v>
      </x:c>
      <x:c r="C6" s="57" t="n">
        <x:v>22</x:v>
      </x:c>
      <x:c r="D6" s="57" t="n">
        <x:v>14</x:v>
      </x:c>
      <x:c r="E6" s="57" t="n">
        <x:f>ROUND((B6/16*35)+(C6/24*35)+(D6/20*30),0)</x:f>
        <x:v>82</x:v>
      </x:c>
      <x:c r="F6" s="111" t="str">
        <x:v>开始提速</x:v>
      </x:c>
    </x:row>
    <x:row r="7" ht="24" customHeight="1">
      <x:c r="A7" s="57" t="str">
        <x:v>Apr</x:v>
      </x:c>
      <x:c r="B7" s="57" t="n">
        <x:v>11</x:v>
      </x:c>
      <x:c r="C7" s="57" t="n">
        <x:v>19</x:v>
      </x:c>
      <x:c r="D7" s="57" t="n">
        <x:v>13</x:v>
      </x:c>
      <x:c r="E7" s="57" t="n">
        <x:f>ROUND((B7/16*35)+(C7/24*35)+(D7/20*30),0)</x:f>
        <x:v>71</x:v>
      </x:c>
      <x:c r="F7" s="111" t="str">
        <x:v>注意睡眠</x:v>
      </x:c>
    </x:row>
    <x:row r="8" ht="24" customHeight="1">
      <x:c r="A8" s="57" t="str">
        <x:v>May</x:v>
      </x:c>
      <x:c r="B8" s="57" t="n">
        <x:v>14</x:v>
      </x:c>
      <x:c r="C8" s="57" t="n">
        <x:v>23</x:v>
      </x:c>
      <x:c r="D8" s="57" t="n">
        <x:v>15</x:v>
      </x:c>
      <x:c r="E8" s="57" t="n">
        <x:f>ROUND((B8/16*35)+(C8/24*35)+(D8/20*30),0)</x:f>
        <x:v>87</x:v>
      </x:c>
      <x:c r="F8" s="111" t="str">
        <x:v>状态最好</x:v>
      </x:c>
    </x:row>
    <x:row r="9" ht="24" customHeight="1">
      <x:c r="A9" s="57" t="str">
        <x:v>Jun</x:v>
      </x:c>
      <x:c r="B9" s="57" t="n">
        <x:v>12</x:v>
      </x:c>
      <x:c r="C9" s="57" t="n">
        <x:v>21</x:v>
      </x:c>
      <x:c r="D9" s="57" t="n">
        <x:v>14</x:v>
      </x:c>
      <x:c r="E9" s="57" t="n">
        <x:f>ROUND((B9/16*35)+(C9/24*35)+(D9/20*30),0)</x:f>
        <x:v>78</x:v>
      </x:c>
      <x:c r="F9" s="111" t="str">
        <x:v>保持弹性</x:v>
      </x:c>
    </x:row>
    <x:row r="10" ht="24" customHeight="1">
      <x:c r="A10" s="57" t="str">
        <x:v>Jul</x:v>
      </x:c>
      <x:c r="B10" s="57" t="n">
        <x:v>9</x:v>
      </x:c>
      <x:c r="C10" s="57" t="n">
        <x:v>17</x:v>
      </x:c>
      <x:c r="D10" s="57" t="n">
        <x:v>10</x:v>
      </x:c>
      <x:c r="E10" s="57" t="n">
        <x:f>ROUND((B10/16*35)+(C10/24*35)+(D10/20*30),0)</x:f>
        <x:v>59</x:v>
      </x:c>
      <x:c r="F10" s="111" t="str">
        <x:v>炎热期减压</x:v>
      </x:c>
    </x:row>
    <x:row r="11" ht="24" customHeight="1">
      <x:c r="A11" s="57" t="str">
        <x:v>Aug</x:v>
      </x:c>
      <x:c r="B11" s="57" t="n">
        <x:v>11</x:v>
      </x:c>
      <x:c r="C11" s="57" t="n">
        <x:v>20</x:v>
      </x:c>
      <x:c r="D11" s="57" t="n">
        <x:v>12</x:v>
      </x:c>
      <x:c r="E11" s="57" t="n">
        <x:f>ROUND((B11/16*35)+(C11/24*35)+(D11/20*30),0)</x:f>
        <x:v>71</x:v>
      </x:c>
      <x:c r="F11" s="111" t="str">
        <x:v>恢复常态</x:v>
      </x:c>
    </x:row>
    <x:row r="12" ht="24" customHeight="1">
      <x:c r="A12" s="57" t="str">
        <x:v>Sep</x:v>
      </x:c>
      <x:c r="B12" s="57" t="n">
        <x:v>13</x:v>
      </x:c>
      <x:c r="C12" s="57" t="n">
        <x:v>22</x:v>
      </x:c>
      <x:c r="D12" s="57" t="n">
        <x:v>14</x:v>
      </x:c>
      <x:c r="E12" s="57" t="n">
        <x:f>ROUND((B12/16*35)+(C12/24*35)+(D12/20*30),0)</x:f>
        <x:v>82</x:v>
      </x:c>
      <x:c r="F12" s="111" t="str">
        <x:v>专注回升</x:v>
      </x:c>
    </x:row>
    <x:row r="13" ht="24" customHeight="1">
      <x:c r="A13" s="57" t="str">
        <x:v>Oct</x:v>
      </x:c>
      <x:c r="B13" s="57" t="n">
        <x:v>14</x:v>
      </x:c>
      <x:c r="C13" s="57" t="n">
        <x:v>24</x:v>
      </x:c>
      <x:c r="D13" s="57" t="n">
        <x:v>16</x:v>
      </x:c>
      <x:c r="E13" s="57" t="n">
        <x:f>ROUND((B13/16*35)+(C13/24*35)+(D13/20*30),0)</x:f>
        <x:v>90</x:v>
      </x:c>
      <x:c r="F13" s="111" t="str">
        <x:v>高质量输出</x:v>
      </x:c>
    </x:row>
    <x:row r="14" ht="24" customHeight="1">
      <x:c r="A14" s="57" t="str">
        <x:v>Nov</x:v>
      </x:c>
      <x:c r="B14" s="57" t="n">
        <x:v>12</x:v>
      </x:c>
      <x:c r="C14" s="57" t="n">
        <x:v>21</x:v>
      </x:c>
      <x:c r="D14" s="57" t="n">
        <x:v>14</x:v>
      </x:c>
      <x:c r="E14" s="57" t="n">
        <x:f>ROUND((B14/16*35)+(C14/24*35)+(D14/20*30),0)</x:f>
        <x:v>78</x:v>
      </x:c>
      <x:c r="F14" s="111" t="str">
        <x:v>避免透支</x:v>
      </x:c>
    </x:row>
    <x:row r="15" ht="24" customHeight="1">
      <x:c r="A15" s="57" t="str">
        <x:v>Dec</x:v>
      </x:c>
      <x:c r="B15" s="57" t="n">
        <x:v>13</x:v>
      </x:c>
      <x:c r="C15" s="57" t="n">
        <x:v>23</x:v>
      </x:c>
      <x:c r="D15" s="57" t="n">
        <x:v>15</x:v>
      </x:c>
      <x:c r="E15" s="57" t="n">
        <x:f>ROUND((B15/16*35)+(C15/24*35)+(D15/20*30),0)</x:f>
        <x:v>84</x:v>
      </x:c>
      <x:c r="F15" s="111" t="str">
        <x:v>收尾稳定</x:v>
      </x:c>
    </x:row>
    <x:row r="16">
      <x:c r="B16" s="53" t="str">
        <x:v>Avg Workout</x:v>
      </x:c>
      <x:c r="C16" s="53" t="str">
        <x:v>Avg Sleep Days</x:v>
      </x:c>
      <x:c r="D16" s="53" t="str">
        <x:v>Avg Focus</x:v>
      </x:c>
      <x:c r="E16" s="53" t="str">
        <x:v>Annual Habit Score</x:v>
      </x:c>
    </x:row>
    <x:row r="17">
      <x:c r="B17" s="119" t="n">
        <x:f>ROUND(AVERAGE(B4:B15),1)</x:f>
        <x:v>12</x:v>
      </x:c>
      <x:c r="C17" s="120" t="n">
        <x:f>ROUND(AVERAGE(C4:C15),1)</x:f>
        <x:v>20.8</x:v>
      </x:c>
      <x:c r="D17" s="120" t="n">
        <x:f>ROUND(AVERAGE(D4:D15),1)</x:f>
        <x:v>13.3</x:v>
      </x:c>
      <x:c r="E17" s="121" t="n">
        <x:f>ROUND(AVERAGE(E4:E15),0)</x:f>
        <x:v>77</x:v>
      </x:c>
    </x:row>
  </x:sheetData>
  <x:mergeCells>
    <x:mergeCell ref="A1:F1"/>
    <x:mergeCell ref="A2:F2"/>
  </x:mergeCells>
  <x:conditionalFormatting sqref="E4:E15">
    <x:cfRule type="colorScale" priority="1">
      <x:colorScale>
        <x:cfvo type="min"/>
        <x:cfvo type="percentile" val="50"/>
        <x:cfvo type="max"/>
        <x:color rgb="FFFECACA"/>
        <x:color rgb="FFFDE68A"/>
        <x:color rgb="FFBBF7D0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25.6299991607666" hidden="0" customWidth="1"/>
    <x:col min="3" max="3" width="25.6299991607666" hidden="0" customWidth="1"/>
    <x:col min="4" max="4" width="25.6299991607666" hidden="0" customWidth="1"/>
    <x:col min="5" max="5" width="25.6299991607666" hidden="0" customWidth="1"/>
    <x:col min="6" max="6" width="18" hidden="0" customWidth="1"/>
    <x:col min="7" max="7" width="25.6299991607666" hidden="0" customWidth="1"/>
  </x:cols>
  <x:sheetData>
    <x:row r="1">
      <x:c r="A1" s="4" t="str">
        <x:v>Learning</x:v>
      </x:c>
      <x:c r="B1" s="4" t="str">
        <x:v>Learning</x:v>
      </x:c>
      <x:c r="C1" s="4" t="str">
        <x:v>Learning</x:v>
      </x:c>
      <x:c r="D1" s="4" t="str">
        <x:v>Learning</x:v>
      </x:c>
      <x:c r="E1" s="4" t="str">
        <x:v>Learning</x:v>
      </x:c>
      <x:c r="F1" s="4" t="str">
        <x:v>Learning</x:v>
      </x:c>
      <x:c r="G1" s="4" t="str">
        <x:v>Learning</x:v>
      </x:c>
    </x:row>
    <x:row r="2">
      <x:c r="A2" s="8" t="str">
        <x:v>用月份记录阅读、课程和练习时长</x:v>
      </x:c>
      <x:c r="B2" s="8" t="str">
        <x:v>用月份记录阅读、课程和练习时长</x:v>
      </x:c>
      <x:c r="C2" s="8" t="str">
        <x:v>用月份记录阅读、课程和练习时长</x:v>
      </x:c>
      <x:c r="D2" s="8" t="str">
        <x:v>用月份记录阅读、课程和练习时长</x:v>
      </x:c>
      <x:c r="E2" s="8" t="str">
        <x:v>用月份记录阅读、课程和练习时长</x:v>
      </x:c>
      <x:c r="F2" s="8" t="str">
        <x:v>用月份记录阅读、课程和练习时长</x:v>
      </x:c>
      <x:c r="G2" s="8" t="str">
        <x:v>用月份记录阅读、课程和练习时长</x:v>
      </x:c>
    </x:row>
    <x:row r="3" ht="24" customHeight="1">
      <x:c r="A3" s="56" t="str">
        <x:v>Month</x:v>
      </x:c>
      <x:c r="B3" s="56" t="str">
        <x:v>Books Finished</x:v>
      </x:c>
      <x:c r="C3" s="56" t="str">
        <x:v>Course Hours</x:v>
      </x:c>
      <x:c r="D3" s="56" t="str">
        <x:v>Practice Hours</x:v>
      </x:c>
      <x:c r="E3" s="56" t="str">
        <x:v>Total Hours</x:v>
      </x:c>
      <x:c r="F3" s="56" t="str">
        <x:v>Focus Topic</x:v>
      </x:c>
      <x:c r="G3" s="56" t="str">
        <x:v>Energy</x:v>
      </x:c>
    </x:row>
    <x:row r="4" ht="24" customHeight="1">
      <x:c r="A4" s="57" t="str">
        <x:v>Jan</x:v>
      </x:c>
      <x:c r="B4" s="57" t="n">
        <x:v>1</x:v>
      </x:c>
      <x:c r="C4" s="57" t="n">
        <x:v>8</x:v>
      </x:c>
      <x:c r="D4" s="57" t="n">
        <x:v>5</x:v>
      </x:c>
      <x:c r="E4" s="57" t="n">
        <x:f>C4+D4</x:f>
        <x:v>13</x:v>
      </x:c>
      <x:c r="F4" s="57" t="str">
        <x:v>写作</x:v>
      </x:c>
      <x:c r="G4" s="57" t="str">
        <x:v>High</x:v>
      </x:c>
    </x:row>
    <x:row r="5" ht="24" customHeight="1">
      <x:c r="A5" s="57" t="str">
        <x:v>Feb</x:v>
      </x:c>
      <x:c r="B5" s="57" t="n">
        <x:v>1</x:v>
      </x:c>
      <x:c r="C5" s="57" t="n">
        <x:v>10</x:v>
      </x:c>
      <x:c r="D5" s="57" t="n">
        <x:v>6</x:v>
      </x:c>
      <x:c r="E5" s="57" t="n">
        <x:f>C5+D5</x:f>
        <x:v>16</x:v>
      </x:c>
      <x:c r="F5" s="57" t="str">
        <x:v>英语</x:v>
      </x:c>
      <x:c r="G5" s="57" t="str">
        <x:v>High</x:v>
      </x:c>
    </x:row>
    <x:row r="6" ht="24" customHeight="1">
      <x:c r="A6" s="57" t="str">
        <x:v>Mar</x:v>
      </x:c>
      <x:c r="B6" s="57" t="n">
        <x:v>2</x:v>
      </x:c>
      <x:c r="C6" s="57" t="n">
        <x:v>12</x:v>
      </x:c>
      <x:c r="D6" s="57" t="n">
        <x:v>6</x:v>
      </x:c>
      <x:c r="E6" s="57" t="n">
        <x:f>C6+D6</x:f>
        <x:v>18</x:v>
      </x:c>
      <x:c r="F6" s="57" t="str">
        <x:v>数据分析</x:v>
      </x:c>
      <x:c r="G6" s="57" t="str">
        <x:v>Medium</x:v>
      </x:c>
    </x:row>
    <x:row r="7" ht="24" customHeight="1">
      <x:c r="A7" s="57" t="str">
        <x:v>Apr</x:v>
      </x:c>
      <x:c r="B7" s="57" t="n">
        <x:v>1</x:v>
      </x:c>
      <x:c r="C7" s="57" t="n">
        <x:v>9</x:v>
      </x:c>
      <x:c r="D7" s="57" t="n">
        <x:v>5</x:v>
      </x:c>
      <x:c r="E7" s="57" t="n">
        <x:f>C7+D7</x:f>
        <x:v>14</x:v>
      </x:c>
      <x:c r="F7" s="57" t="str">
        <x:v>表达</x:v>
      </x:c>
      <x:c r="G7" s="57" t="str">
        <x:v>Medium</x:v>
      </x:c>
    </x:row>
    <x:row r="8" ht="24" customHeight="1">
      <x:c r="A8" s="57" t="str">
        <x:v>May</x:v>
      </x:c>
      <x:c r="B8" s="57" t="n">
        <x:v>2</x:v>
      </x:c>
      <x:c r="C8" s="57" t="n">
        <x:v>13</x:v>
      </x:c>
      <x:c r="D8" s="57" t="n">
        <x:v>7</x:v>
      </x:c>
      <x:c r="E8" s="57" t="n">
        <x:f>C8+D8</x:f>
        <x:v>20</x:v>
      </x:c>
      <x:c r="F8" s="57" t="str">
        <x:v>产品思维</x:v>
      </x:c>
      <x:c r="G8" s="57" t="str">
        <x:v>High</x:v>
      </x:c>
    </x:row>
    <x:row r="9" ht="24" customHeight="1">
      <x:c r="A9" s="57" t="str">
        <x:v>Jun</x:v>
      </x:c>
      <x:c r="B9" s="57" t="n">
        <x:v>1</x:v>
      </x:c>
      <x:c r="C9" s="57" t="n">
        <x:v>11</x:v>
      </x:c>
      <x:c r="D9" s="57" t="n">
        <x:v>6</x:v>
      </x:c>
      <x:c r="E9" s="57" t="n">
        <x:f>C9+D9</x:f>
        <x:v>17</x:v>
      </x:c>
      <x:c r="F9" s="57" t="str">
        <x:v>英语</x:v>
      </x:c>
      <x:c r="G9" s="57" t="str">
        <x:v>Medium</x:v>
      </x:c>
    </x:row>
    <x:row r="10" ht="24" customHeight="1">
      <x:c r="A10" s="57" t="str">
        <x:v>Jul</x:v>
      </x:c>
      <x:c r="B10" s="57" t="n">
        <x:v>1</x:v>
      </x:c>
      <x:c r="C10" s="57" t="n">
        <x:v>7</x:v>
      </x:c>
      <x:c r="D10" s="57" t="n">
        <x:v>4</x:v>
      </x:c>
      <x:c r="E10" s="57" t="n">
        <x:f>C10+D10</x:f>
        <x:v>11</x:v>
      </x:c>
      <x:c r="F10" s="57" t="str">
        <x:v>复盘</x:v>
      </x:c>
      <x:c r="G10" s="57" t="str">
        <x:v>Low</x:v>
      </x:c>
    </x:row>
    <x:row r="11" ht="24" customHeight="1">
      <x:c r="A11" s="57" t="str">
        <x:v>Aug</x:v>
      </x:c>
      <x:c r="B11" s="57" t="n">
        <x:v>1</x:v>
      </x:c>
      <x:c r="C11" s="57" t="n">
        <x:v>9</x:v>
      </x:c>
      <x:c r="D11" s="57" t="n">
        <x:v>5</x:v>
      </x:c>
      <x:c r="E11" s="57" t="n">
        <x:f>C11+D11</x:f>
        <x:v>14</x:v>
      </x:c>
      <x:c r="F11" s="57" t="str">
        <x:v>写作</x:v>
      </x:c>
      <x:c r="G11" s="57" t="str">
        <x:v>Medium</x:v>
      </x:c>
    </x:row>
    <x:row r="12" ht="24" customHeight="1">
      <x:c r="A12" s="57" t="str">
        <x:v>Sep</x:v>
      </x:c>
      <x:c r="B12" s="57" t="n">
        <x:v>2</x:v>
      </x:c>
      <x:c r="C12" s="57" t="n">
        <x:v>12</x:v>
      </x:c>
      <x:c r="D12" s="57" t="n">
        <x:v>7</x:v>
      </x:c>
      <x:c r="E12" s="57" t="n">
        <x:f>C12+D12</x:f>
        <x:v>19</x:v>
      </x:c>
      <x:c r="F12" s="57" t="str">
        <x:v>结构化思考</x:v>
      </x:c>
      <x:c r="G12" s="57" t="str">
        <x:v>High</x:v>
      </x:c>
    </x:row>
    <x:row r="13" ht="24" customHeight="1">
      <x:c r="A13" s="57" t="str">
        <x:v>Oct</x:v>
      </x:c>
      <x:c r="B13" s="57" t="n">
        <x:v>2</x:v>
      </x:c>
      <x:c r="C13" s="57" t="n">
        <x:v>14</x:v>
      </x:c>
      <x:c r="D13" s="57" t="n">
        <x:v>8</x:v>
      </x:c>
      <x:c r="E13" s="57" t="n">
        <x:f>C13+D13</x:f>
        <x:v>22</x:v>
      </x:c>
      <x:c r="F13" s="57" t="str">
        <x:v>表达</x:v>
      </x:c>
      <x:c r="G13" s="57" t="str">
        <x:v>High</x:v>
      </x:c>
    </x:row>
    <x:row r="14" ht="24" customHeight="1">
      <x:c r="A14" s="57" t="str">
        <x:v>Nov</x:v>
      </x:c>
      <x:c r="B14" s="57" t="n">
        <x:v>1</x:v>
      </x:c>
      <x:c r="C14" s="57" t="n">
        <x:v>10</x:v>
      </x:c>
      <x:c r="D14" s="57" t="n">
        <x:v>6</x:v>
      </x:c>
      <x:c r="E14" s="57" t="n">
        <x:f>C14+D14</x:f>
        <x:v>16</x:v>
      </x:c>
      <x:c r="F14" s="57" t="str">
        <x:v>项目管理</x:v>
      </x:c>
      <x:c r="G14" s="57" t="str">
        <x:v>Medium</x:v>
      </x:c>
    </x:row>
    <x:row r="15" ht="24" customHeight="1">
      <x:c r="A15" s="57" t="str">
        <x:v>Dec</x:v>
      </x:c>
      <x:c r="B15" s="57" t="n">
        <x:v>1</x:v>
      </x:c>
      <x:c r="C15" s="57" t="n">
        <x:v>11</x:v>
      </x:c>
      <x:c r="D15" s="57" t="n">
        <x:v>6</x:v>
      </x:c>
      <x:c r="E15" s="57" t="n">
        <x:f>C15+D15</x:f>
        <x:v>17</x:v>
      </x:c>
      <x:c r="F15" s="57" t="str">
        <x:v>年度总结</x:v>
      </x:c>
      <x:c r="G15" s="57" t="str">
        <x:v>Medium</x:v>
      </x:c>
    </x:row>
    <x:row r="16">
      <x:c r="B16" s="53" t="str">
        <x:v>Books</x:v>
      </x:c>
      <x:c r="C16" s="53" t="str">
        <x:v>Course Hours</x:v>
      </x:c>
      <x:c r="D16" s="53" t="str">
        <x:v>Practice Hours</x:v>
      </x:c>
      <x:c r="E16" s="53" t="str">
        <x:v>Total Hours</x:v>
      </x:c>
    </x:row>
    <x:row r="17">
      <x:c r="B17" s="122" t="n">
        <x:f>SUM(B4:B15)</x:f>
        <x:v>16</x:v>
      </x:c>
      <x:c r="C17" s="123" t="n">
        <x:f>SUM(C4:C15)</x:f>
        <x:v>126</x:v>
      </x:c>
      <x:c r="D17" s="123" t="n">
        <x:f>SUM(D4:D15)</x:f>
        <x:v>71</x:v>
      </x:c>
      <x:c r="E17" s="124" t="n">
        <x:f>SUM(E4:E15)</x:f>
        <x:v>197</x:v>
      </x:c>
    </x:row>
  </x:sheetData>
  <x:mergeCells>
    <x:mergeCell ref="A1:G1"/>
    <x:mergeCell ref="A2:G2"/>
  </x:mergeCells>
  <x:conditionalFormatting sqref="G4:G15">
    <x:cfRule type="containsText" dxfId="1" priority="1" operator="containsText" text="High"/>
    <x:cfRule type="containsText" dxfId="2" priority="2" operator="containsText" text="Low"/>
  </x:conditionalFormatting>
  <x:dataValidations count="1">
    <x:dataValidation type="list" sqref="G4:G15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25" hidden="0" customWidth="1"/>
    <x:col min="2" max="2" width="32.25" hidden="0" customWidth="1"/>
    <x:col min="3" max="3" width="32.25" hidden="0" customWidth="1"/>
    <x:col min="4" max="4" width="32.25" hidden="0" customWidth="1"/>
    <x:col min="5" max="5" width="32.25" hidden="0" customWidth="1"/>
    <x:col min="6" max="6" width="32.25" hidden="0" customWidth="1"/>
  </x:cols>
  <x:sheetData>
    <x:row r="1">
      <x:c r="A1" s="4" t="str">
        <x:v>Savings</x:v>
      </x:c>
      <x:c r="B1" s="4" t="str">
        <x:v>Savings</x:v>
      </x:c>
      <x:c r="C1" s="4" t="str">
        <x:v>Savings</x:v>
      </x:c>
      <x:c r="D1" s="4" t="str">
        <x:v>Savings</x:v>
      </x:c>
      <x:c r="E1" s="4" t="str">
        <x:v>Savings</x:v>
      </x:c>
      <x:c r="F1" s="4" t="str">
        <x:v>Savings</x:v>
      </x:c>
    </x:row>
    <x:row r="2">
      <x:c r="A2" s="8" t="str">
        <x:v>把收入、支出和结余放成一个可追踪的节奏</x:v>
      </x:c>
      <x:c r="B2" s="8" t="str">
        <x:v>把收入、支出和结余放成一个可追踪的节奏</x:v>
      </x:c>
      <x:c r="C2" s="8" t="str">
        <x:v>把收入、支出和结余放成一个可追踪的节奏</x:v>
      </x:c>
      <x:c r="D2" s="8" t="str">
        <x:v>把收入、支出和结余放成一个可追踪的节奏</x:v>
      </x:c>
      <x:c r="E2" s="8" t="str">
        <x:v>把收入、支出和结余放成一个可追踪的节奏</x:v>
      </x:c>
      <x:c r="F2" s="8" t="str">
        <x:v>把收入、支出和结余放成一个可追踪的节奏</x:v>
      </x:c>
    </x:row>
    <x:row r="3" ht="24" customHeight="1">
      <x:c r="A3" s="56" t="str">
        <x:v>Month</x:v>
      </x:c>
      <x:c r="B3" s="56" t="str">
        <x:v>Income</x:v>
      </x:c>
      <x:c r="C3" s="56" t="str">
        <x:v>Essential Spend</x:v>
      </x:c>
      <x:c r="D3" s="56" t="str">
        <x:v>Flexible Spend</x:v>
      </x:c>
      <x:c r="E3" s="56" t="str">
        <x:v>Saved</x:v>
      </x:c>
      <x:c r="F3" s="56" t="str">
        <x:v>Savings Rate</x:v>
      </x:c>
    </x:row>
    <x:row r="4" ht="24" customHeight="1">
      <x:c r="A4" s="57" t="str">
        <x:v>Jan</x:v>
      </x:c>
      <x:c r="B4" s="126" t="n">
        <x:v>12000</x:v>
      </x:c>
      <x:c r="C4" s="126" t="n">
        <x:v>5200</x:v>
      </x:c>
      <x:c r="D4" s="126" t="n">
        <x:v>2500</x:v>
      </x:c>
      <x:c r="E4" s="126" t="n">
        <x:f>B4-C4-D4</x:f>
        <x:v>4300</x:v>
      </x:c>
      <x:c r="F4" s="59" t="n">
        <x:f>IF(B4=0,0,E4/B4)</x:f>
        <x:v>0.35833333333333334</x:v>
      </x:c>
    </x:row>
    <x:row r="5" ht="24" customHeight="1">
      <x:c r="A5" s="57" t="str">
        <x:v>Feb</x:v>
      </x:c>
      <x:c r="B5" s="126" t="n">
        <x:v>12000</x:v>
      </x:c>
      <x:c r="C5" s="126" t="n">
        <x:v>5300</x:v>
      </x:c>
      <x:c r="D5" s="126" t="n">
        <x:v>2300</x:v>
      </x:c>
      <x:c r="E5" s="126" t="n">
        <x:f>B5-C5-D5</x:f>
        <x:v>4400</x:v>
      </x:c>
      <x:c r="F5" s="59" t="n">
        <x:f>IF(B5=0,0,E5/B5)</x:f>
        <x:v>0.36666666666666664</x:v>
      </x:c>
    </x:row>
    <x:row r="6" ht="24" customHeight="1">
      <x:c r="A6" s="57" t="str">
        <x:v>Mar</x:v>
      </x:c>
      <x:c r="B6" s="126" t="n">
        <x:v>12800</x:v>
      </x:c>
      <x:c r="C6" s="126" t="n">
        <x:v>5400</x:v>
      </x:c>
      <x:c r="D6" s="126" t="n">
        <x:v>2600</x:v>
      </x:c>
      <x:c r="E6" s="126" t="n">
        <x:f>B6-C6-D6</x:f>
        <x:v>4800</x:v>
      </x:c>
      <x:c r="F6" s="59" t="n">
        <x:f>IF(B6=0,0,E6/B6)</x:f>
        <x:v>0.375</x:v>
      </x:c>
    </x:row>
    <x:row r="7" ht="24" customHeight="1">
      <x:c r="A7" s="57" t="str">
        <x:v>Apr</x:v>
      </x:c>
      <x:c r="B7" s="126" t="n">
        <x:v>12800</x:v>
      </x:c>
      <x:c r="C7" s="126" t="n">
        <x:v>5500</x:v>
      </x:c>
      <x:c r="D7" s="126" t="n">
        <x:v>2700</x:v>
      </x:c>
      <x:c r="E7" s="126" t="n">
        <x:f>B7-C7-D7</x:f>
        <x:v>4600</x:v>
      </x:c>
      <x:c r="F7" s="59" t="n">
        <x:f>IF(B7=0,0,E7/B7)</x:f>
        <x:v>0.359375</x:v>
      </x:c>
    </x:row>
    <x:row r="8" ht="24" customHeight="1">
      <x:c r="A8" s="57" t="str">
        <x:v>May</x:v>
      </x:c>
      <x:c r="B8" s="126" t="n">
        <x:v>13200</x:v>
      </x:c>
      <x:c r="C8" s="126" t="n">
        <x:v>5600</x:v>
      </x:c>
      <x:c r="D8" s="126" t="n">
        <x:v>2600</x:v>
      </x:c>
      <x:c r="E8" s="126" t="n">
        <x:f>B8-C8-D8</x:f>
        <x:v>5000</x:v>
      </x:c>
      <x:c r="F8" s="59" t="n">
        <x:f>IF(B8=0,0,E8/B8)</x:f>
        <x:v>0.3787878787878788</x:v>
      </x:c>
    </x:row>
    <x:row r="9" ht="24" customHeight="1">
      <x:c r="A9" s="57" t="str">
        <x:v>Jun</x:v>
      </x:c>
      <x:c r="B9" s="126" t="n">
        <x:v>13200</x:v>
      </x:c>
      <x:c r="C9" s="126" t="n">
        <x:v>5600</x:v>
      </x:c>
      <x:c r="D9" s="126" t="n">
        <x:v>2800</x:v>
      </x:c>
      <x:c r="E9" s="126" t="n">
        <x:f>B9-C9-D9</x:f>
        <x:v>4800</x:v>
      </x:c>
      <x:c r="F9" s="59" t="n">
        <x:f>IF(B9=0,0,E9/B9)</x:f>
        <x:v>0.36363636363636365</x:v>
      </x:c>
    </x:row>
    <x:row r="10" ht="24" customHeight="1">
      <x:c r="A10" s="57" t="str">
        <x:v>Jul</x:v>
      </x:c>
      <x:c r="B10" s="126" t="n">
        <x:v>12500</x:v>
      </x:c>
      <x:c r="C10" s="126" t="n">
        <x:v>5500</x:v>
      </x:c>
      <x:c r="D10" s="126" t="n">
        <x:v>2900</x:v>
      </x:c>
      <x:c r="E10" s="126" t="n">
        <x:f>B10-C10-D10</x:f>
        <x:v>4100</x:v>
      </x:c>
      <x:c r="F10" s="59" t="n">
        <x:f>IF(B10=0,0,E10/B10)</x:f>
        <x:v>0.328</x:v>
      </x:c>
    </x:row>
    <x:row r="11" ht="24" customHeight="1">
      <x:c r="A11" s="57" t="str">
        <x:v>Aug</x:v>
      </x:c>
      <x:c r="B11" s="126" t="n">
        <x:v>12500</x:v>
      </x:c>
      <x:c r="C11" s="126" t="n">
        <x:v>5500</x:v>
      </x:c>
      <x:c r="D11" s="126" t="n">
        <x:v>2500</x:v>
      </x:c>
      <x:c r="E11" s="126" t="n">
        <x:f>B11-C11-D11</x:f>
        <x:v>4500</x:v>
      </x:c>
      <x:c r="F11" s="59" t="n">
        <x:f>IF(B11=0,0,E11/B11)</x:f>
        <x:v>0.36</x:v>
      </x:c>
    </x:row>
    <x:row r="12" ht="24" customHeight="1">
      <x:c r="A12" s="57" t="str">
        <x:v>Sep</x:v>
      </x:c>
      <x:c r="B12" s="126" t="n">
        <x:v>13800</x:v>
      </x:c>
      <x:c r="C12" s="126" t="n">
        <x:v>5700</x:v>
      </x:c>
      <x:c r="D12" s="126" t="n">
        <x:v>2700</x:v>
      </x:c>
      <x:c r="E12" s="126" t="n">
        <x:f>B12-C12-D12</x:f>
        <x:v>5400</x:v>
      </x:c>
      <x:c r="F12" s="59" t="n">
        <x:f>IF(B12=0,0,E12/B12)</x:f>
        <x:v>0.391304347826087</x:v>
      </x:c>
    </x:row>
    <x:row r="13" ht="24" customHeight="1">
      <x:c r="A13" s="57" t="str">
        <x:v>Oct</x:v>
      </x:c>
      <x:c r="B13" s="126" t="n">
        <x:v>13800</x:v>
      </x:c>
      <x:c r="C13" s="126" t="n">
        <x:v>5800</x:v>
      </x:c>
      <x:c r="D13" s="126" t="n">
        <x:v>2900</x:v>
      </x:c>
      <x:c r="E13" s="126" t="n">
        <x:f>B13-C13-D13</x:f>
        <x:v>5100</x:v>
      </x:c>
      <x:c r="F13" s="59" t="n">
        <x:f>IF(B13=0,0,E13/B13)</x:f>
        <x:v>0.3695652173913043</x:v>
      </x:c>
    </x:row>
    <x:row r="14" ht="24" customHeight="1">
      <x:c r="A14" s="57" t="str">
        <x:v>Nov</x:v>
      </x:c>
      <x:c r="B14" s="126" t="n">
        <x:v>14200</x:v>
      </x:c>
      <x:c r="C14" s="126" t="n">
        <x:v>5900</x:v>
      </x:c>
      <x:c r="D14" s="126" t="n">
        <x:v>3000</x:v>
      </x:c>
      <x:c r="E14" s="126" t="n">
        <x:f>B14-C14-D14</x:f>
        <x:v>5300</x:v>
      </x:c>
      <x:c r="F14" s="59" t="n">
        <x:f>IF(B14=0,0,E14/B14)</x:f>
        <x:v>0.3732394366197183</x:v>
      </x:c>
    </x:row>
    <x:row r="15" ht="24" customHeight="1">
      <x:c r="A15" s="57" t="str">
        <x:v>Dec</x:v>
      </x:c>
      <x:c r="B15" s="126" t="n">
        <x:v>15000</x:v>
      </x:c>
      <x:c r="C15" s="126" t="n">
        <x:v>6000</x:v>
      </x:c>
      <x:c r="D15" s="126" t="n">
        <x:v>3200</x:v>
      </x:c>
      <x:c r="E15" s="126" t="n">
        <x:f>B15-C15-D15</x:f>
        <x:v>5800</x:v>
      </x:c>
      <x:c r="F15" s="59" t="n">
        <x:f>IF(B15=0,0,E15/B15)</x:f>
        <x:v>0.38666666666666666</x:v>
      </x:c>
    </x:row>
    <x:row r="16">
      <x:c r="B16" s="53" t="str">
        <x:v>Total Income</x:v>
      </x:c>
      <x:c r="C16" s="53" t="str">
        <x:v>Essential Total</x:v>
      </x:c>
      <x:c r="D16" s="53" t="str">
        <x:v>Flexible Total</x:v>
      </x:c>
      <x:c r="E16" s="53" t="str">
        <x:v>Saved Total</x:v>
      </x:c>
      <x:c r="F16" s="53" t="str">
        <x:v>Annual Savings Rate</x:v>
      </x:c>
    </x:row>
    <x:row r="17">
      <x:c r="B17" s="134" t="n">
        <x:f>SUM(B4:B15)</x:f>
        <x:v>157800</x:v>
      </x:c>
      <x:c r="C17" s="135" t="n">
        <x:f>SUM(C4:C15)</x:f>
        <x:v>67000</x:v>
      </x:c>
      <x:c r="D17" s="135" t="n">
        <x:f>SUM(D4:D15)</x:f>
        <x:v>32700</x:v>
      </x:c>
      <x:c r="E17" s="135" t="n">
        <x:f>SUM(E4:E15)</x:f>
        <x:v>58100</x:v>
      </x:c>
      <x:c r="F17" s="136" t="n">
        <x:f>IF(B17=0,0,E17/B17)</x:f>
        <x:v>0.3681875792141952</x:v>
      </x:c>
    </x:row>
  </x:sheetData>
  <x:mergeCells>
    <x:mergeCell ref="A1:F1"/>
    <x:mergeCell ref="A2:F2"/>
  </x:mergeCells>
  <x:conditionalFormatting sqref="F4:F15">
    <x:cfRule type="colorScale" priority="1">
      <x:colorScale>
        <x:cfvo type="min"/>
        <x:cfvo type="percentile" val="50"/>
        <x:cfvo type="max"/>
        <x:color rgb="FFFECACA"/>
        <x:color rgb="FFFDE68A"/>
        <x:color rgb="FFBBF7D0"/>
      </x:colorScale>
    </x:cfRule>
  </x:conditionalFormatting>
  <x:pageMargins left="0.7" right="0.7" top="0.75" bottom="0.75" header="0.3" footer="0.3"/>
</x:worksheet>
</file>