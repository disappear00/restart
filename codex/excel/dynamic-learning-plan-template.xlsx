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看板" sheetId="1" state="visible" r:id="rId1"/>
    <sheet xmlns:r="http://schemas.openxmlformats.org/officeDocument/2006/relationships" name="周计划明细" sheetId="2" state="visible" r:id="rId2"/>
    <sheet xmlns:r="http://schemas.openxmlformats.org/officeDocument/2006/relationships" name="知识点追踪" sheetId="3" state="visible" r:id="rId3"/>
    <sheet xmlns:r="http://schemas.openxmlformats.org/officeDocument/2006/relationships" name="资源清单" sheetId="4" state="visible" r:id="rId4"/>
    <sheet xmlns:r="http://schemas.openxmlformats.org/officeDocument/2006/relationships" name="统计源" sheetId="5" state="hidden" r:id="rId5"/>
  </sheets>
  <definedNames>
    <definedName name="_xlnm._FilterDatabase" localSheetId="1" hidden="1">'周计划明细'!$A$1:$J$200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0" fillId="0" borderId="1" pivotButton="0" quotePrefix="0" xfId="0"/>
    <xf numFmtId="9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9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各模块投入时间占比</a:t>
            </a:r>
          </a:p>
        </rich>
      </tx>
    </title>
    <plotArea>
      <pieChart>
        <varyColors val="1"/>
        <ser>
          <idx val="0"/>
          <order val="0"/>
          <tx>
            <strRef>
              <f>'总览看板'!J8</f>
            </strRef>
          </tx>
          <spPr>
            <a:ln xmlns:a="http://schemas.openxmlformats.org/drawingml/2006/main">
              <a:prstDash val="solid"/>
            </a:ln>
          </spPr>
          <cat>
            <numRef>
              <f>'总览看板'!$I$9:$I$13</f>
            </numRef>
          </cat>
          <val>
            <numRef>
              <f>'总览看板'!$J$9:$J$13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14</row>
      <rowOff>0</rowOff>
    </from>
    <ext cx="32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6" customWidth="1" min="3" max="3"/>
    <col width="20" customWidth="1" min="4" max="4"/>
    <col width="28" customWidth="1" min="5" max="5"/>
    <col width="12" customWidth="1" min="6" max="6"/>
    <col width="12" customWidth="1" min="7" max="7"/>
    <col width="14" customWidth="1" min="9" max="9"/>
    <col width="14" customWidth="1" min="10" max="10"/>
    <col width="12" customWidth="1" min="11" max="11"/>
  </cols>
  <sheetData>
    <row r="1" ht="24" customHeight="1">
      <c r="A1" s="1" t="inlineStr">
        <is>
          <t>动态学习计划总览看板</t>
        </is>
      </c>
    </row>
    <row r="2"/>
    <row r="3">
      <c r="A3" s="2" t="inlineStr">
        <is>
          <t>目标</t>
        </is>
      </c>
      <c r="B3" s="3" t="inlineStr">
        <is>
          <t>[具体目标]</t>
        </is>
      </c>
      <c r="J3" s="2" t="inlineStr">
        <is>
          <t>总进度</t>
        </is>
      </c>
      <c r="K3" s="4">
        <f>IFERROR((COUNTIF('周计划明细'!$H$2:$H$200,"25%")*0.25+COUNTIF('周计划明细'!$H$2:$H$200,"50%")*0.5+COUNTIF('周计划明细'!$H$2:$H$200,"75%")*0.75+COUNTIF('周计划明细'!$H$2:$H$200,"100%"))/MAX(1,COUNTA('周计划明细'!$A$2:$A$200)),0)</f>
        <v/>
      </c>
    </row>
    <row r="4">
      <c r="A4" s="2" t="inlineStr">
        <is>
          <t>可用总时长</t>
        </is>
      </c>
      <c r="B4" s="3" t="inlineStr">
        <is>
          <t>[X小时/周]</t>
        </is>
      </c>
      <c r="J4" s="2" t="inlineStr">
        <is>
          <t>进度条</t>
        </is>
      </c>
      <c r="K4">
        <f>REPT("|",ROUND(K3*20,0))&amp;REPT(".",20-ROUND(K3*20,0))</f>
        <v/>
      </c>
    </row>
    <row r="5">
      <c r="A5" s="2" t="inlineStr">
        <is>
          <t>注意力集中时长</t>
        </is>
      </c>
      <c r="B5" s="3" t="inlineStr">
        <is>
          <t>[25分钟番茄钟 / 90分钟深度学习]</t>
        </is>
      </c>
      <c r="J5" s="2" t="inlineStr">
        <is>
          <t>已完成天数</t>
        </is>
      </c>
      <c r="K5">
        <f>COUNTIF('周计划明细'!$H$2:$H$200,"100%")</f>
        <v/>
      </c>
    </row>
    <row r="6">
      <c r="A6" s="2" t="inlineStr">
        <is>
          <t>学习风格</t>
        </is>
      </c>
      <c r="B6" s="3" t="inlineStr">
        <is>
          <t>[视觉型 / 听觉型 / 动手实践型 / 阅读型]</t>
        </is>
      </c>
      <c r="J6" s="2" t="inlineStr">
        <is>
          <t>知识点精通率</t>
        </is>
      </c>
      <c r="K6" s="4">
        <f>IFERROR(COUNTIF('知识点追踪'!$D$2:$D$200,"精通")/MAX(1,COUNTA('知识点追踪'!$B$2:$B$200)),0)</f>
        <v/>
      </c>
    </row>
    <row r="7"/>
    <row r="8">
      <c r="A8" s="5" t="inlineStr">
        <is>
          <t>阶段</t>
        </is>
      </c>
      <c r="B8" s="5" t="inlineStr">
        <is>
          <t>时间节点</t>
        </is>
      </c>
      <c r="C8" s="5" t="inlineStr">
        <is>
          <t>核心模块</t>
        </is>
      </c>
      <c r="D8" s="5" t="inlineStr">
        <is>
          <t>里程碑</t>
        </is>
      </c>
      <c r="E8" s="5" t="inlineStr">
        <is>
          <t>验收标准</t>
        </is>
      </c>
      <c r="F8" s="5" t="inlineStr">
        <is>
          <t>当前状态</t>
        </is>
      </c>
      <c r="G8" s="5" t="inlineStr">
        <is>
          <t>阶段进度</t>
        </is>
      </c>
      <c r="H8" s="5" t="n"/>
      <c r="I8" s="5" t="inlineStr">
        <is>
          <t>模块</t>
        </is>
      </c>
      <c r="J8" s="5" t="inlineStr">
        <is>
          <t>计划投入(h)</t>
        </is>
      </c>
      <c r="K8" s="5" t="inlineStr">
        <is>
          <t>占比</t>
        </is>
      </c>
    </row>
    <row r="9">
      <c r="A9" s="6" t="inlineStr">
        <is>
          <t>阶段1 启动</t>
        </is>
      </c>
      <c r="B9" s="6" t="inlineStr">
        <is>
          <t>第1-2周</t>
        </is>
      </c>
      <c r="C9" s="6" t="inlineStr">
        <is>
          <t>基础理论</t>
        </is>
      </c>
      <c r="D9" s="6" t="inlineStr">
        <is>
          <t>完成知识框架搭建</t>
        </is>
      </c>
      <c r="E9" s="6" t="inlineStr">
        <is>
          <t>能复述核心概念并完成基础题 80%</t>
        </is>
      </c>
      <c r="F9" s="6" t="inlineStr">
        <is>
          <t>进行中</t>
        </is>
      </c>
      <c r="G9" s="7">
        <f>IF(F9="已完成",1,IF(F9="进行中",0.5,0))</f>
        <v/>
      </c>
      <c r="H9" s="6" t="n"/>
      <c r="I9" s="6" t="inlineStr">
        <is>
          <t>基础理论</t>
        </is>
      </c>
      <c r="J9" s="6">
        <f>SUMIF(统计源!$C$2:$C$800,I9,统计源!$D$2:$D$800)</f>
        <v/>
      </c>
      <c r="K9" s="7">
        <f>IFERROR(J9/SUM($J$9:$J$13),0)</f>
        <v/>
      </c>
    </row>
    <row r="10">
      <c r="A10" s="6" t="inlineStr">
        <is>
          <t>阶段2 强化</t>
        </is>
      </c>
      <c r="B10" s="6" t="inlineStr">
        <is>
          <t>第3-6周</t>
        </is>
      </c>
      <c r="C10" s="6" t="inlineStr">
        <is>
          <t>核心技能</t>
        </is>
      </c>
      <c r="D10" s="6" t="inlineStr">
        <is>
          <t>完成重点模块训练</t>
        </is>
      </c>
      <c r="E10" s="6" t="inlineStr">
        <is>
          <t>能独立完成综合练习并输出错题清单</t>
        </is>
      </c>
      <c r="F10" s="6" t="inlineStr">
        <is>
          <t>未开始</t>
        </is>
      </c>
      <c r="G10" s="7">
        <f>IF(F10="已完成",1,IF(F10="进行中",0.5,0))</f>
        <v/>
      </c>
      <c r="H10" s="6" t="n"/>
      <c r="I10" s="6" t="inlineStr">
        <is>
          <t>核心技能</t>
        </is>
      </c>
      <c r="J10" s="6">
        <f>SUMIF(统计源!$C$2:$C$800,I10,统计源!$D$2:$D$800)</f>
        <v/>
      </c>
      <c r="K10" s="7">
        <f>IFERROR(J10/SUM($J$9:$J$13),0)</f>
        <v/>
      </c>
    </row>
    <row r="11">
      <c r="A11" s="6" t="inlineStr">
        <is>
          <t>阶段3 输出</t>
        </is>
      </c>
      <c r="B11" s="6" t="inlineStr">
        <is>
          <t>第7-8周</t>
        </is>
      </c>
      <c r="C11" s="6" t="inlineStr">
        <is>
          <t>实战应用</t>
        </is>
      </c>
      <c r="D11" s="6" t="inlineStr">
        <is>
          <t>完成项目/模拟考/复盘</t>
        </is>
      </c>
      <c r="E11" s="6" t="inlineStr">
        <is>
          <t>达到目标分数或完成项目交付</t>
        </is>
      </c>
      <c r="F11" s="6" t="inlineStr">
        <is>
          <t>未开始</t>
        </is>
      </c>
      <c r="G11" s="7">
        <f>IF(F11="已完成",1,IF(F11="进行中",0.5,0))</f>
        <v/>
      </c>
      <c r="H11" s="6" t="n"/>
      <c r="I11" s="6" t="inlineStr">
        <is>
          <t>实战应用</t>
        </is>
      </c>
      <c r="J11" s="6">
        <f>SUMIF(统计源!$C$2:$C$800,I11,统计源!$D$2:$D$800)</f>
        <v/>
      </c>
      <c r="K11" s="7">
        <f>IFERROR(J11/SUM($J$9:$J$13),0)</f>
        <v/>
      </c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inlineStr">
        <is>
          <t>复盘输出</t>
        </is>
      </c>
      <c r="J12" s="6">
        <f>SUMIF(统计源!$C$2:$C$800,I12,统计源!$D$2:$D$800)</f>
        <v/>
      </c>
      <c r="K12" s="7">
        <f>IFERROR(J12/SUM($J$9:$J$13),0)</f>
        <v/>
      </c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inlineStr">
        <is>
          <t>机动调整</t>
        </is>
      </c>
      <c r="J13" s="6">
        <f>SUMIF(统计源!$C$2:$C$800,I13,统计源!$D$2:$D$800)</f>
        <v/>
      </c>
      <c r="K13" s="7">
        <f>IFERROR(J13/SUM($J$9:$J$13),0)</f>
        <v/>
      </c>
    </row>
    <row r="14"/>
    <row r="15">
      <c r="A15" s="5" t="inlineStr">
        <is>
          <t>调整日期</t>
        </is>
      </c>
      <c r="B15" s="5" t="inlineStr">
        <is>
          <t>变更内容</t>
        </is>
      </c>
      <c r="C15" s="5" t="inlineStr">
        <is>
          <t>变更原因</t>
        </is>
      </c>
      <c r="D15" s="5" t="inlineStr">
        <is>
          <t>影响范围</t>
        </is>
      </c>
      <c r="E15" s="5" t="inlineStr">
        <is>
          <t>应对措施</t>
        </is>
      </c>
    </row>
    <row r="16">
      <c r="A16" s="8" t="n">
        <v>46230</v>
      </c>
      <c r="B16" s="6" t="inlineStr">
        <is>
          <t>晚间学习改为错题复盘</t>
        </is>
      </c>
      <c r="C16" s="6" t="inlineStr">
        <is>
          <t>连续两天注意力下降</t>
        </is>
      </c>
      <c r="D16" s="6" t="inlineStr">
        <is>
          <t>晚间时段</t>
        </is>
      </c>
      <c r="E16" s="6" t="inlineStr">
        <is>
          <t>将重内容前移到上午</t>
        </is>
      </c>
    </row>
    <row r="17">
      <c r="A17" s="8" t="n">
        <v>46237</v>
      </c>
      <c r="B17" s="6" t="inlineStr">
        <is>
          <t>周末增加 2 小时机动时段</t>
        </is>
      </c>
      <c r="C17" s="6" t="inlineStr">
        <is>
          <t>阶段测验暴露薄弱点</t>
        </is>
      </c>
      <c r="D17" s="6" t="inlineStr">
        <is>
          <t>周末计划</t>
        </is>
      </c>
      <c r="E17" s="6" t="inlineStr">
        <is>
          <t>补强化练习与复盘</t>
        </is>
      </c>
    </row>
    <row r="18">
      <c r="A18" s="6" t="inlineStr"/>
      <c r="B18" s="6" t="inlineStr"/>
      <c r="C18" s="6" t="inlineStr"/>
      <c r="D18" s="6" t="inlineStr"/>
      <c r="E18" s="6" t="inlineStr"/>
    </row>
  </sheetData>
  <mergeCells count="1">
    <mergeCell ref="A1:L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26" customWidth="1" min="4" max="4"/>
    <col width="26" customWidth="1" min="5" max="5"/>
    <col width="26" customWidth="1" min="6" max="6"/>
    <col width="14" customWidth="1" min="7" max="7"/>
    <col width="12" customWidth="1" min="8" max="8"/>
    <col width="10" customWidth="1" min="9" max="9"/>
    <col width="18" customWidth="1" min="10" max="10"/>
  </cols>
  <sheetData>
    <row r="1">
      <c r="A1" s="5" t="inlineStr">
        <is>
          <t>周次</t>
        </is>
      </c>
      <c r="B1" s="5" t="inlineStr">
        <is>
          <t>日期</t>
        </is>
      </c>
      <c r="C1" s="5" t="inlineStr">
        <is>
          <t>星期</t>
        </is>
      </c>
      <c r="D1" s="5" t="inlineStr">
        <is>
          <t>上午内容</t>
        </is>
      </c>
      <c r="E1" s="5" t="inlineStr">
        <is>
          <t>下午内容</t>
        </is>
      </c>
      <c r="F1" s="5" t="inlineStr">
        <is>
          <t>晚上内容</t>
        </is>
      </c>
      <c r="G1" s="5" t="inlineStr">
        <is>
          <t>学习时长(自动求和)</t>
        </is>
      </c>
      <c r="H1" s="5" t="inlineStr">
        <is>
          <t>完成度</t>
        </is>
      </c>
      <c r="I1" s="5" t="inlineStr">
        <is>
          <t>实际用时</t>
        </is>
      </c>
      <c r="J1" s="5" t="inlineStr">
        <is>
          <t>差异分析</t>
        </is>
      </c>
    </row>
    <row r="2">
      <c r="A2" s="6" t="n">
        <v>1</v>
      </c>
      <c r="B2" s="8" t="n">
        <v>46223</v>
      </c>
      <c r="C2" s="6">
        <f>TEXT(B2,"aaaa")</f>
        <v/>
      </c>
      <c r="D2" s="6" t="inlineStr">
        <is>
          <t>基础理论:课程导学|1.5h</t>
        </is>
      </c>
      <c r="E2" s="6" t="inlineStr">
        <is>
          <t>核心技能:例题拆解|1.0h</t>
        </is>
      </c>
      <c r="F2" s="6" t="inlineStr">
        <is>
          <t>复盘输出:学习笔记|0.5h</t>
        </is>
      </c>
      <c r="G2" s="6">
        <f>SUM(IFERROR(VALUE(TEXTBEFORE(TEXTAFTER(D2,"|"),"h")),0),IFERROR(VALUE(TEXTBEFORE(TEXTAFTER(E2,"|"),"h")),0),IFERROR(VALUE(TEXTBEFORE(TEXTAFTER(F2,"|"),"h")),0))</f>
        <v/>
      </c>
      <c r="H2" s="6" t="inlineStr">
        <is>
          <t>75%</t>
        </is>
      </c>
      <c r="I2" s="9" t="n">
        <v>1.8</v>
      </c>
      <c r="J2" s="6">
        <f>IF(OR(G2="",I2=""),"待填写",IF(I2&gt;G2,"超时 "&amp;TEXT(I2-G2,"0.0")&amp;"h",IF(I2&lt;G2,"节省 "&amp;TEXT(G2-I2,"0.0")&amp;"h","符合预期")))</f>
        <v/>
      </c>
    </row>
    <row r="3">
      <c r="A3" s="6" t="n">
        <v>1</v>
      </c>
      <c r="B3" s="8" t="n">
        <v>46224</v>
      </c>
      <c r="C3" s="6">
        <f>TEXT(B3,"aaaa")</f>
        <v/>
      </c>
      <c r="D3" s="6" t="inlineStr">
        <is>
          <t>核心技能:章节练习|2.0h</t>
        </is>
      </c>
      <c r="E3" s="6" t="inlineStr">
        <is>
          <t>实战应用:案例模仿|1.0h</t>
        </is>
      </c>
      <c r="F3" s="6" t="inlineStr">
        <is>
          <t>复盘输出:错题整理|0.5h</t>
        </is>
      </c>
      <c r="G3" s="6">
        <f>SUM(IFERROR(VALUE(TEXTBEFORE(TEXTAFTER(D3,"|"),"h")),0),IFERROR(VALUE(TEXTBEFORE(TEXTAFTER(E3,"|"),"h")),0),IFERROR(VALUE(TEXTBEFORE(TEXTAFTER(F3,"|"),"h")),0))</f>
        <v/>
      </c>
      <c r="H3" s="6" t="inlineStr">
        <is>
          <t>100%</t>
        </is>
      </c>
      <c r="I3" s="9" t="n">
        <v>3.5</v>
      </c>
      <c r="J3" s="6">
        <f>IF(OR(G3="",I3=""),"待填写",IF(I3&gt;G3,"超时 "&amp;TEXT(I3-G3,"0.0")&amp;"h",IF(I3&lt;G3,"节省 "&amp;TEXT(G3-I3,"0.0")&amp;"h","符合预期")))</f>
        <v/>
      </c>
    </row>
    <row r="4">
      <c r="A4" s="6" t="n">
        <v>1</v>
      </c>
      <c r="B4" s="8" t="n">
        <v>46225</v>
      </c>
      <c r="C4" s="6">
        <f>TEXT(B4,"aaaa")</f>
        <v/>
      </c>
      <c r="D4" s="6" t="inlineStr">
        <is>
          <t>基础理论:知识回顾|1.0h</t>
        </is>
      </c>
      <c r="E4" s="6" t="inlineStr">
        <is>
          <t>核心技能:专项训练|1.5h</t>
        </is>
      </c>
      <c r="F4" s="6" t="inlineStr">
        <is>
          <t>机动调整:补漏复习|0.5h</t>
        </is>
      </c>
      <c r="G4" s="6">
        <f>SUM(IFERROR(VALUE(TEXTBEFORE(TEXTAFTER(D4,"|"),"h")),0),IFERROR(VALUE(TEXTBEFORE(TEXTAFTER(E4,"|"),"h")),0),IFERROR(VALUE(TEXTBEFORE(TEXTAFTER(F4,"|"),"h")),0))</f>
        <v/>
      </c>
      <c r="H4" s="6" t="inlineStr">
        <is>
          <t>50%</t>
        </is>
      </c>
      <c r="I4" s="9" t="n">
        <v>2.2</v>
      </c>
      <c r="J4" s="6">
        <f>IF(OR(G4="",I4=""),"待填写",IF(I4&gt;G4,"超时 "&amp;TEXT(I4-G4,"0.0")&amp;"h",IF(I4&lt;G4,"节省 "&amp;TEXT(G4-I4,"0.0")&amp;"h","符合预期")))</f>
        <v/>
      </c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</row>
    <row r="64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</row>
    <row r="66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</row>
    <row r="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</row>
    <row r="70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</row>
    <row r="72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</row>
    <row r="74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</row>
    <row r="76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</row>
    <row r="7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</row>
    <row r="80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</row>
    <row r="82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</row>
    <row r="84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</row>
    <row r="86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</row>
    <row r="8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</row>
    <row r="90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</row>
    <row r="92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</row>
    <row r="94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</row>
    <row r="96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</row>
    <row r="9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</row>
    <row r="100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</row>
    <row r="10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</row>
    <row r="104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</row>
    <row r="106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</row>
    <row r="10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</row>
    <row r="110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</row>
    <row r="11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</row>
    <row r="114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</row>
    <row r="116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</row>
    <row r="11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</row>
    <row r="120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</row>
    <row r="12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</row>
    <row r="124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</row>
    <row r="126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</row>
    <row r="12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</row>
    <row r="130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</row>
    <row r="132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</row>
    <row r="134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</row>
    <row r="136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</row>
    <row r="13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</row>
    <row r="140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</row>
    <row r="14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</row>
    <row r="144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</row>
    <row r="146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</row>
    <row r="14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</row>
    <row r="150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</row>
    <row r="152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</row>
    <row r="154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</row>
    <row r="156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</row>
    <row r="15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</row>
    <row r="160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</row>
    <row r="162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</row>
    <row r="164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</row>
    <row r="166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</row>
    <row r="1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</row>
    <row r="170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</row>
    <row r="172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</row>
    <row r="174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</row>
    <row r="176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</row>
    <row r="17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</row>
    <row r="180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</row>
    <row r="182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</row>
    <row r="184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</row>
    <row r="186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</row>
    <row r="18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</row>
    <row r="190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</row>
    <row r="192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</row>
    <row r="194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</row>
    <row r="196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</row>
    <row r="19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</row>
    <row r="200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</row>
  </sheetData>
  <autoFilter ref="A1:J200"/>
  <conditionalFormatting sqref="A2:J200">
    <cfRule type="expression" priority="1" dxfId="0" stopIfTrue="0">
      <formula>$H2="100%"</formula>
    </cfRule>
    <cfRule type="expression" priority="2" dxfId="1" stopIfTrue="0">
      <formula>=AND($B2&lt;TODAY(),$H2&lt;&gt;"100%",$A2&lt;&gt;"")</formula>
    </cfRule>
  </conditionalFormatting>
  <dataValidations count="1">
    <dataValidation sqref="H2:H200" showDropDown="0" showInputMessage="0" showErrorMessage="0" allowBlank="1" type="list">
      <formula1>"0%,25%,50%,75%,100%"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12" customWidth="1" min="4" max="4"/>
    <col width="14" customWidth="1" min="5" max="5"/>
    <col width="12" customWidth="1" min="6" max="6"/>
    <col width="12" customWidth="1" min="7" max="7"/>
    <col width="12" customWidth="1" min="8" max="8"/>
    <col width="18" customWidth="1" min="9" max="9"/>
    <col hidden="1" width="12" customWidth="1" min="10" max="10"/>
    <col hidden="1" width="12" customWidth="1" min="11" max="11"/>
    <col hidden="1" width="16" customWidth="1" min="12" max="12"/>
  </cols>
  <sheetData>
    <row r="1">
      <c r="A1" s="5" t="inlineStr">
        <is>
          <t>模块</t>
        </is>
      </c>
      <c r="B1" s="5" t="inlineStr">
        <is>
          <t>知识点</t>
        </is>
      </c>
      <c r="C1" s="5" t="inlineStr">
        <is>
          <t>难度等级(1-5星)</t>
        </is>
      </c>
      <c r="D1" s="5" t="inlineStr">
        <is>
          <t>掌握程度</t>
        </is>
      </c>
      <c r="E1" s="5" t="inlineStr">
        <is>
          <t>首次学习日期</t>
        </is>
      </c>
      <c r="F1" s="5" t="inlineStr">
        <is>
          <t>复习日期1</t>
        </is>
      </c>
      <c r="G1" s="5" t="inlineStr">
        <is>
          <t>复习日期2</t>
        </is>
      </c>
      <c r="H1" s="5" t="inlineStr">
        <is>
          <t>复习日期3</t>
        </is>
      </c>
      <c r="I1" s="5" t="inlineStr">
        <is>
          <t>关联知识点</t>
        </is>
      </c>
      <c r="J1" s="5" t="inlineStr">
        <is>
          <t>复习日期4</t>
        </is>
      </c>
      <c r="K1" s="5" t="inlineStr">
        <is>
          <t>复习日期5</t>
        </is>
      </c>
      <c r="L1" s="5" t="inlineStr">
        <is>
          <t>复习提醒</t>
        </is>
      </c>
    </row>
    <row r="2">
      <c r="A2" s="6" t="inlineStr">
        <is>
          <t>基础理论</t>
        </is>
      </c>
      <c r="B2" s="6" t="inlineStr">
        <is>
          <t>函数极限</t>
        </is>
      </c>
      <c r="C2" s="6" t="inlineStr">
        <is>
          <t>★★★☆☆</t>
        </is>
      </c>
      <c r="D2" s="6" t="inlineStr">
        <is>
          <t>熟悉</t>
        </is>
      </c>
      <c r="E2" s="8" t="n">
        <v>46223</v>
      </c>
      <c r="F2" s="6">
        <f>E2+1</f>
        <v/>
      </c>
      <c r="G2" s="6">
        <f>E2+2</f>
        <v/>
      </c>
      <c r="H2" s="6">
        <f>E2+4</f>
        <v/>
      </c>
      <c r="I2" s="6" t="inlineStr">
        <is>
          <t>导数定义</t>
        </is>
      </c>
      <c r="J2" s="6">
        <f>E2+7</f>
        <v/>
      </c>
      <c r="K2" s="6">
        <f>E2+15</f>
        <v/>
      </c>
      <c r="L2" s="6">
        <f>IF(E2="","",IF(TODAY()&gt;K2,"应进行第5次复习",IF(TODAY()&gt;J2,"应进行第4次复习",IF(TODAY()&gt;H2,"应进行第3次复习",IF(TODAY()&gt;G2,"应进行第2次复习",IF(TODAY()&gt;F2,"应进行第1次复习","未到复习日"))))))</f>
        <v/>
      </c>
    </row>
    <row r="3">
      <c r="A3" s="6" t="inlineStr">
        <is>
          <t>核心技能</t>
        </is>
      </c>
      <c r="B3" s="6" t="inlineStr">
        <is>
          <t>题型拆解</t>
        </is>
      </c>
      <c r="C3" s="6" t="inlineStr">
        <is>
          <t>★★★★☆</t>
        </is>
      </c>
      <c r="D3" s="6" t="inlineStr">
        <is>
          <t>生疏</t>
        </is>
      </c>
      <c r="E3" s="8" t="n">
        <v>46224</v>
      </c>
      <c r="F3" s="6">
        <f>E3+1</f>
        <v/>
      </c>
      <c r="G3" s="6">
        <f>E3+2</f>
        <v/>
      </c>
      <c r="H3" s="6">
        <f>E3+4</f>
        <v/>
      </c>
      <c r="I3" s="6" t="inlineStr">
        <is>
          <t>错题归因</t>
        </is>
      </c>
      <c r="J3" s="6">
        <f>E3+7</f>
        <v/>
      </c>
      <c r="K3" s="6">
        <f>E3+15</f>
        <v/>
      </c>
      <c r="L3" s="6">
        <f>IF(E3="","",IF(TODAY()&gt;K3,"应进行第5次复习",IF(TODAY()&gt;J3,"应进行第4次复习",IF(TODAY()&gt;H3,"应进行第3次复习",IF(TODAY()&gt;G3,"应进行第2次复习",IF(TODAY()&gt;F3,"应进行第1次复习","未到复习日"))))))</f>
        <v/>
      </c>
    </row>
    <row r="4">
      <c r="A4" s="6" t="inlineStr">
        <is>
          <t>实战应用</t>
        </is>
      </c>
      <c r="B4" s="6" t="inlineStr">
        <is>
          <t>综合案例</t>
        </is>
      </c>
      <c r="C4" s="6" t="inlineStr">
        <is>
          <t>★★★★★</t>
        </is>
      </c>
      <c r="D4" s="6" t="inlineStr">
        <is>
          <t>生疏</t>
        </is>
      </c>
      <c r="E4" s="8" t="n">
        <v>46225</v>
      </c>
      <c r="F4" s="6">
        <f>E4+1</f>
        <v/>
      </c>
      <c r="G4" s="6">
        <f>E4+2</f>
        <v/>
      </c>
      <c r="H4" s="6">
        <f>E4+4</f>
        <v/>
      </c>
      <c r="I4" s="6" t="inlineStr">
        <is>
          <t>项目复盘</t>
        </is>
      </c>
      <c r="J4" s="6">
        <f>E4+7</f>
        <v/>
      </c>
      <c r="K4" s="6">
        <f>E4+15</f>
        <v/>
      </c>
      <c r="L4" s="6">
        <f>IF(E4="","",IF(TODAY()&gt;K4,"应进行第5次复习",IF(TODAY()&gt;J4,"应进行第4次复习",IF(TODAY()&gt;H4,"应进行第3次复习",IF(TODAY()&gt;G4,"应进行第2次复习",IF(TODAY()&gt;F4,"应进行第1次复习","未到复习日"))))))</f>
        <v/>
      </c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  <c r="I20" s="6" t="n"/>
      <c r="J20" s="6" t="n"/>
      <c r="K20" s="6" t="n"/>
      <c r="L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  <c r="I24" s="6" t="n"/>
      <c r="J24" s="6" t="n"/>
      <c r="K24" s="6" t="n"/>
      <c r="L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  <c r="I26" s="6" t="n"/>
      <c r="J26" s="6" t="n"/>
      <c r="K26" s="6" t="n"/>
      <c r="L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  <c r="I28" s="6" t="n"/>
      <c r="J28" s="6" t="n"/>
      <c r="K28" s="6" t="n"/>
      <c r="L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  <c r="I34" s="6" t="n"/>
      <c r="J34" s="6" t="n"/>
      <c r="K34" s="6" t="n"/>
      <c r="L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  <c r="I36" s="6" t="n"/>
      <c r="J36" s="6" t="n"/>
      <c r="K36" s="6" t="n"/>
      <c r="L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  <c r="I38" s="6" t="n"/>
      <c r="J38" s="6" t="n"/>
      <c r="K38" s="6" t="n"/>
      <c r="L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  <c r="I42" s="6" t="n"/>
      <c r="J42" s="6" t="n"/>
      <c r="K42" s="6" t="n"/>
      <c r="L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  <c r="I44" s="6" t="n"/>
      <c r="J44" s="6" t="n"/>
      <c r="K44" s="6" t="n"/>
      <c r="L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  <c r="I46" s="6" t="n"/>
      <c r="J46" s="6" t="n"/>
      <c r="K46" s="6" t="n"/>
      <c r="L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6" t="n"/>
      <c r="K48" s="6" t="n"/>
      <c r="L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6" t="n"/>
      <c r="K50" s="6" t="n"/>
      <c r="L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6" t="n"/>
      <c r="K52" s="6" t="n"/>
      <c r="L52" s="6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6" t="n"/>
      <c r="K53" s="6" t="n"/>
      <c r="L53" s="6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6" t="n"/>
      <c r="K54" s="6" t="n"/>
      <c r="L54" s="6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6" t="n"/>
      <c r="K55" s="6" t="n"/>
      <c r="L55" s="6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6" t="n"/>
      <c r="K59" s="6" t="n"/>
      <c r="L59" s="6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6" t="n"/>
      <c r="K60" s="6" t="n"/>
      <c r="L60" s="6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6" t="n"/>
      <c r="K61" s="6" t="n"/>
      <c r="L61" s="6" t="n"/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6" t="n"/>
      <c r="K62" s="6" t="n"/>
      <c r="L62" s="6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6" t="n"/>
      <c r="K63" s="6" t="n"/>
      <c r="L63" s="6" t="n"/>
    </row>
    <row r="64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6" t="n"/>
      <c r="K65" s="6" t="n"/>
      <c r="L65" s="6" t="n"/>
    </row>
    <row r="66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6" t="n"/>
      <c r="K66" s="6" t="n"/>
      <c r="L66" s="6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6" t="n"/>
      <c r="K67" s="6" t="n"/>
      <c r="L67" s="6" t="n"/>
    </row>
    <row r="6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6" t="n"/>
      <c r="K68" s="6" t="n"/>
      <c r="L68" s="6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6" t="n"/>
      <c r="K69" s="6" t="n"/>
      <c r="L69" s="6" t="n"/>
    </row>
    <row r="70">
      <c r="A70" s="6" t="n"/>
      <c r="B70" s="6" t="n"/>
      <c r="C70" s="6" t="n"/>
      <c r="D70" s="6" t="n"/>
      <c r="E70" s="6" t="n"/>
      <c r="F70" s="6" t="n"/>
      <c r="G70" s="6" t="n"/>
      <c r="H70" s="6" t="n"/>
      <c r="I70" s="6" t="n"/>
      <c r="J70" s="6" t="n"/>
      <c r="K70" s="6" t="n"/>
      <c r="L70" s="6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  <c r="J71" s="6" t="n"/>
      <c r="K71" s="6" t="n"/>
      <c r="L71" s="6" t="n"/>
    </row>
    <row r="72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  <c r="J73" s="6" t="n"/>
      <c r="K73" s="6" t="n"/>
      <c r="L73" s="6" t="n"/>
    </row>
    <row r="74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  <c r="J74" s="6" t="n"/>
      <c r="K74" s="6" t="n"/>
      <c r="L74" s="6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</row>
    <row r="76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  <c r="J77" s="6" t="n"/>
      <c r="K77" s="6" t="n"/>
      <c r="L77" s="6" t="n"/>
    </row>
    <row r="7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  <c r="J78" s="6" t="n"/>
      <c r="K78" s="6" t="n"/>
      <c r="L78" s="6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  <c r="J79" s="6" t="n"/>
      <c r="K79" s="6" t="n"/>
      <c r="L79" s="6" t="n"/>
    </row>
    <row r="80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  <c r="J80" s="6" t="n"/>
      <c r="K80" s="6" t="n"/>
      <c r="L80" s="6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  <c r="J81" s="6" t="n"/>
      <c r="K81" s="6" t="n"/>
      <c r="L81" s="6" t="n"/>
    </row>
    <row r="82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  <c r="J82" s="6" t="n"/>
      <c r="K82" s="6" t="n"/>
      <c r="L82" s="6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  <c r="I83" s="6" t="n"/>
      <c r="J83" s="6" t="n"/>
      <c r="K83" s="6" t="n"/>
      <c r="L83" s="6" t="n"/>
    </row>
    <row r="84">
      <c r="A84" s="6" t="n"/>
      <c r="B84" s="6" t="n"/>
      <c r="C84" s="6" t="n"/>
      <c r="D84" s="6" t="n"/>
      <c r="E84" s="6" t="n"/>
      <c r="F84" s="6" t="n"/>
      <c r="G84" s="6" t="n"/>
      <c r="H84" s="6" t="n"/>
      <c r="I84" s="6" t="n"/>
      <c r="J84" s="6" t="n"/>
      <c r="K84" s="6" t="n"/>
      <c r="L84" s="6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  <c r="I85" s="6" t="n"/>
      <c r="J85" s="6" t="n"/>
      <c r="K85" s="6" t="n"/>
      <c r="L85" s="6" t="n"/>
    </row>
    <row r="86">
      <c r="A86" s="6" t="n"/>
      <c r="B86" s="6" t="n"/>
      <c r="C86" s="6" t="n"/>
      <c r="D86" s="6" t="n"/>
      <c r="E86" s="6" t="n"/>
      <c r="F86" s="6" t="n"/>
      <c r="G86" s="6" t="n"/>
      <c r="H86" s="6" t="n"/>
      <c r="I86" s="6" t="n"/>
      <c r="J86" s="6" t="n"/>
      <c r="K86" s="6" t="n"/>
      <c r="L86" s="6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  <c r="I87" s="6" t="n"/>
      <c r="J87" s="6" t="n"/>
      <c r="K87" s="6" t="n"/>
      <c r="L87" s="6" t="n"/>
    </row>
    <row r="88">
      <c r="A88" s="6" t="n"/>
      <c r="B88" s="6" t="n"/>
      <c r="C88" s="6" t="n"/>
      <c r="D88" s="6" t="n"/>
      <c r="E88" s="6" t="n"/>
      <c r="F88" s="6" t="n"/>
      <c r="G88" s="6" t="n"/>
      <c r="H88" s="6" t="n"/>
      <c r="I88" s="6" t="n"/>
      <c r="J88" s="6" t="n"/>
      <c r="K88" s="6" t="n"/>
      <c r="L88" s="6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  <c r="I89" s="6" t="n"/>
      <c r="J89" s="6" t="n"/>
      <c r="K89" s="6" t="n"/>
      <c r="L89" s="6" t="n"/>
    </row>
    <row r="90">
      <c r="A90" s="6" t="n"/>
      <c r="B90" s="6" t="n"/>
      <c r="C90" s="6" t="n"/>
      <c r="D90" s="6" t="n"/>
      <c r="E90" s="6" t="n"/>
      <c r="F90" s="6" t="n"/>
      <c r="G90" s="6" t="n"/>
      <c r="H90" s="6" t="n"/>
      <c r="I90" s="6" t="n"/>
      <c r="J90" s="6" t="n"/>
      <c r="K90" s="6" t="n"/>
      <c r="L90" s="6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  <c r="I91" s="6" t="n"/>
      <c r="J91" s="6" t="n"/>
      <c r="K91" s="6" t="n"/>
      <c r="L91" s="6" t="n"/>
    </row>
    <row r="92">
      <c r="A92" s="6" t="n"/>
      <c r="B92" s="6" t="n"/>
      <c r="C92" s="6" t="n"/>
      <c r="D92" s="6" t="n"/>
      <c r="E92" s="6" t="n"/>
      <c r="F92" s="6" t="n"/>
      <c r="G92" s="6" t="n"/>
      <c r="H92" s="6" t="n"/>
      <c r="I92" s="6" t="n"/>
      <c r="J92" s="6" t="n"/>
      <c r="K92" s="6" t="n"/>
      <c r="L92" s="6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</row>
    <row r="94">
      <c r="A94" s="6" t="n"/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  <c r="I95" s="6" t="n"/>
      <c r="J95" s="6" t="n"/>
      <c r="K95" s="6" t="n"/>
      <c r="L95" s="6" t="n"/>
    </row>
    <row r="96">
      <c r="A96" s="6" t="n"/>
      <c r="B96" s="6" t="n"/>
      <c r="C96" s="6" t="n"/>
      <c r="D96" s="6" t="n"/>
      <c r="E96" s="6" t="n"/>
      <c r="F96" s="6" t="n"/>
      <c r="G96" s="6" t="n"/>
      <c r="H96" s="6" t="n"/>
      <c r="I96" s="6" t="n"/>
      <c r="J96" s="6" t="n"/>
      <c r="K96" s="6" t="n"/>
      <c r="L96" s="6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  <c r="I97" s="6" t="n"/>
      <c r="J97" s="6" t="n"/>
      <c r="K97" s="6" t="n"/>
      <c r="L97" s="6" t="n"/>
    </row>
    <row r="98">
      <c r="A98" s="6" t="n"/>
      <c r="B98" s="6" t="n"/>
      <c r="C98" s="6" t="n"/>
      <c r="D98" s="6" t="n"/>
      <c r="E98" s="6" t="n"/>
      <c r="F98" s="6" t="n"/>
      <c r="G98" s="6" t="n"/>
      <c r="H98" s="6" t="n"/>
      <c r="I98" s="6" t="n"/>
      <c r="J98" s="6" t="n"/>
      <c r="K98" s="6" t="n"/>
      <c r="L98" s="6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  <c r="I99" s="6" t="n"/>
      <c r="J99" s="6" t="n"/>
      <c r="K99" s="6" t="n"/>
      <c r="L99" s="6" t="n"/>
    </row>
    <row r="100">
      <c r="A100" s="6" t="n"/>
      <c r="B100" s="6" t="n"/>
      <c r="C100" s="6" t="n"/>
      <c r="D100" s="6" t="n"/>
      <c r="E100" s="6" t="n"/>
      <c r="F100" s="6" t="n"/>
      <c r="G100" s="6" t="n"/>
      <c r="H100" s="6" t="n"/>
      <c r="I100" s="6" t="n"/>
      <c r="J100" s="6" t="n"/>
      <c r="K100" s="6" t="n"/>
      <c r="L100" s="6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  <c r="I101" s="6" t="n"/>
      <c r="J101" s="6" t="n"/>
      <c r="K101" s="6" t="n"/>
      <c r="L101" s="6" t="n"/>
    </row>
    <row r="102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</row>
    <row r="104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</row>
    <row r="106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</row>
    <row r="108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</row>
    <row r="110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</row>
    <row r="112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</row>
    <row r="114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</row>
    <row r="116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</row>
    <row r="118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</row>
    <row r="120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</row>
    <row r="122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</row>
    <row r="124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</row>
    <row r="126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</row>
    <row r="128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</row>
    <row r="130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</row>
    <row r="132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</row>
    <row r="134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</row>
    <row r="136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</row>
    <row r="138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</row>
    <row r="140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</row>
    <row r="142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</row>
    <row r="144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</row>
    <row r="146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</row>
    <row r="148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</row>
    <row r="150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</row>
    <row r="152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</row>
    <row r="154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</row>
    <row r="156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</row>
    <row r="158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</row>
    <row r="160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</row>
    <row r="162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</row>
    <row r="164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</row>
    <row r="166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</row>
    <row r="168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</row>
    <row r="170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</row>
    <row r="172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</row>
    <row r="174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</row>
    <row r="176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</row>
    <row r="178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</row>
    <row r="180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</row>
    <row r="182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</row>
    <row r="184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</row>
    <row r="186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</row>
    <row r="188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</row>
    <row r="190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</row>
    <row r="192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</row>
    <row r="194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</row>
    <row r="196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</row>
    <row r="198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</row>
    <row r="200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</row>
  </sheetData>
  <conditionalFormatting sqref="A2:L200">
    <cfRule type="expression" priority="1" dxfId="2" stopIfTrue="0">
      <formula>=AND($L2&lt;&gt;"未到复习日",$D2&lt;&gt;"精通",$A2&lt;&gt;"")</formula>
    </cfRule>
  </conditionalFormatting>
  <dataValidations count="1">
    <dataValidation sqref="D2:D200" showDropDown="0" showInputMessage="0" showErrorMessage="0" allowBlank="1" type="list">
      <formula1>"生疏,熟悉,精通"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4" customWidth="1" min="3" max="3"/>
    <col width="12" customWidth="1" min="4" max="4"/>
    <col width="12" customWidth="1" min="5" max="5"/>
    <col width="12" customWidth="1" min="6" max="6"/>
    <col width="22" customWidth="1" min="7" max="7"/>
    <col width="10" customWidth="1" min="8" max="8"/>
  </cols>
  <sheetData>
    <row r="1">
      <c r="A1" s="5" t="inlineStr">
        <is>
          <t>资源名称</t>
        </is>
      </c>
      <c r="B1" s="5" t="inlineStr">
        <is>
          <t>类型(书/视频/题库/文档)</t>
        </is>
      </c>
      <c r="C1" s="5" t="inlineStr">
        <is>
          <t>对应模块</t>
        </is>
      </c>
      <c r="D1" s="5" t="inlineStr">
        <is>
          <t>预估耗时</t>
        </is>
      </c>
      <c r="E1" s="5" t="inlineStr">
        <is>
          <t>已用时长</t>
        </is>
      </c>
      <c r="F1" s="5" t="inlineStr">
        <is>
          <t>完成状态</t>
        </is>
      </c>
      <c r="G1" s="5" t="inlineStr">
        <is>
          <t>链接/位置</t>
        </is>
      </c>
      <c r="H1" s="5" t="inlineStr">
        <is>
          <t>质量评分</t>
        </is>
      </c>
    </row>
    <row r="2">
      <c r="A2" s="6" t="inlineStr">
        <is>
          <t>《基础课程讲义》</t>
        </is>
      </c>
      <c r="B2" s="6" t="inlineStr">
        <is>
          <t>书</t>
        </is>
      </c>
      <c r="C2" s="6" t="inlineStr">
        <is>
          <t>基础理论</t>
        </is>
      </c>
      <c r="D2" s="6" t="n">
        <v>6</v>
      </c>
      <c r="E2" s="6" t="n">
        <v>2</v>
      </c>
      <c r="F2" s="6" t="inlineStr">
        <is>
          <t>进行中</t>
        </is>
      </c>
      <c r="G2" s="6" t="inlineStr">
        <is>
          <t>本地/教材</t>
        </is>
      </c>
      <c r="H2" s="9" t="n">
        <v>4.5</v>
      </c>
    </row>
    <row r="3">
      <c r="A3" s="6" t="inlineStr">
        <is>
          <t>专项题训练营</t>
        </is>
      </c>
      <c r="B3" s="6" t="inlineStr">
        <is>
          <t>题库</t>
        </is>
      </c>
      <c r="C3" s="6" t="inlineStr">
        <is>
          <t>核心技能</t>
        </is>
      </c>
      <c r="D3" s="6" t="n">
        <v>10</v>
      </c>
      <c r="E3" s="6" t="n">
        <v>4</v>
      </c>
      <c r="F3" s="6" t="inlineStr">
        <is>
          <t>进行中</t>
        </is>
      </c>
      <c r="G3" s="6" t="inlineStr">
        <is>
          <t>在线题库</t>
        </is>
      </c>
      <c r="H3" s="9" t="n">
        <v>4.8</v>
      </c>
    </row>
    <row r="4">
      <c r="A4" s="6" t="inlineStr">
        <is>
          <t>案例拆解视频</t>
        </is>
      </c>
      <c r="B4" s="6" t="inlineStr">
        <is>
          <t>视频</t>
        </is>
      </c>
      <c r="C4" s="6" t="inlineStr">
        <is>
          <t>实战应用</t>
        </is>
      </c>
      <c r="D4" s="6" t="n">
        <v>5</v>
      </c>
      <c r="E4" s="6" t="n">
        <v>0</v>
      </c>
      <c r="F4" s="6" t="inlineStr">
        <is>
          <t>未开始</t>
        </is>
      </c>
      <c r="G4" s="6" t="inlineStr">
        <is>
          <t>网盘/课程平台</t>
        </is>
      </c>
      <c r="H4" s="9" t="n">
        <v>4.2</v>
      </c>
    </row>
    <row r="5">
      <c r="A5" s="6" t="n"/>
      <c r="B5" s="6" t="n"/>
      <c r="C5" s="6" t="n"/>
      <c r="D5" s="6" t="n"/>
      <c r="E5" s="6" t="n"/>
      <c r="F5" s="6" t="n"/>
      <c r="G5" s="6" t="n"/>
      <c r="H5" s="6" t="n"/>
    </row>
    <row r="6">
      <c r="A6" s="6" t="n"/>
      <c r="B6" s="6" t="n"/>
      <c r="C6" s="6" t="n"/>
      <c r="D6" s="6" t="n"/>
      <c r="E6" s="6" t="n"/>
      <c r="F6" s="6" t="n"/>
      <c r="G6" s="6" t="n"/>
      <c r="H6" s="6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</row>
    <row r="10">
      <c r="A10" s="6" t="n"/>
      <c r="B10" s="6" t="n"/>
      <c r="C10" s="6" t="n"/>
      <c r="D10" s="6" t="n"/>
      <c r="E10" s="6" t="n"/>
      <c r="F10" s="6" t="n"/>
      <c r="G10" s="6" t="n"/>
      <c r="H10" s="6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</row>
    <row r="12">
      <c r="A12" s="6" t="n"/>
      <c r="B12" s="6" t="n"/>
      <c r="C12" s="6" t="n"/>
      <c r="D12" s="6" t="n"/>
      <c r="E12" s="6" t="n"/>
      <c r="F12" s="6" t="n"/>
      <c r="G12" s="6" t="n"/>
      <c r="H12" s="6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</row>
    <row r="14">
      <c r="A14" s="6" t="n"/>
      <c r="B14" s="6" t="n"/>
      <c r="C14" s="6" t="n"/>
      <c r="D14" s="6" t="n"/>
      <c r="E14" s="6" t="n"/>
      <c r="F14" s="6" t="n"/>
      <c r="G14" s="6" t="n"/>
      <c r="H14" s="6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</row>
    <row r="16">
      <c r="A16" s="6" t="n"/>
      <c r="B16" s="6" t="n"/>
      <c r="C16" s="6" t="n"/>
      <c r="D16" s="6" t="n"/>
      <c r="E16" s="6" t="n"/>
      <c r="F16" s="6" t="n"/>
      <c r="G16" s="6" t="n"/>
      <c r="H16" s="6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</row>
    <row r="18">
      <c r="A18" s="6" t="n"/>
      <c r="B18" s="6" t="n"/>
      <c r="C18" s="6" t="n"/>
      <c r="D18" s="6" t="n"/>
      <c r="E18" s="6" t="n"/>
      <c r="F18" s="6" t="n"/>
      <c r="G18" s="6" t="n"/>
      <c r="H18" s="6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</row>
    <row r="22">
      <c r="A22" s="6" t="n"/>
      <c r="B22" s="6" t="n"/>
      <c r="C22" s="6" t="n"/>
      <c r="D22" s="6" t="n"/>
      <c r="E22" s="6" t="n"/>
      <c r="F22" s="6" t="n"/>
      <c r="G22" s="6" t="n"/>
      <c r="H22" s="6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</row>
    <row r="24">
      <c r="A24" s="6" t="n"/>
      <c r="B24" s="6" t="n"/>
      <c r="C24" s="6" t="n"/>
      <c r="D24" s="6" t="n"/>
      <c r="E24" s="6" t="n"/>
      <c r="F24" s="6" t="n"/>
      <c r="G24" s="6" t="n"/>
      <c r="H24" s="6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</row>
    <row r="26">
      <c r="A26" s="6" t="n"/>
      <c r="B26" s="6" t="n"/>
      <c r="C26" s="6" t="n"/>
      <c r="D26" s="6" t="n"/>
      <c r="E26" s="6" t="n"/>
      <c r="F26" s="6" t="n"/>
      <c r="G26" s="6" t="n"/>
      <c r="H26" s="6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</row>
    <row r="28">
      <c r="A28" s="6" t="n"/>
      <c r="B28" s="6" t="n"/>
      <c r="C28" s="6" t="n"/>
      <c r="D28" s="6" t="n"/>
      <c r="E28" s="6" t="n"/>
      <c r="F28" s="6" t="n"/>
      <c r="G28" s="6" t="n"/>
      <c r="H28" s="6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</row>
    <row r="30">
      <c r="A30" s="6" t="n"/>
      <c r="B30" s="6" t="n"/>
      <c r="C30" s="6" t="n"/>
      <c r="D30" s="6" t="n"/>
      <c r="E30" s="6" t="n"/>
      <c r="F30" s="6" t="n"/>
      <c r="G30" s="6" t="n"/>
      <c r="H30" s="6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</row>
    <row r="32">
      <c r="A32" s="6" t="n"/>
      <c r="B32" s="6" t="n"/>
      <c r="C32" s="6" t="n"/>
      <c r="D32" s="6" t="n"/>
      <c r="E32" s="6" t="n"/>
      <c r="F32" s="6" t="n"/>
      <c r="G32" s="6" t="n"/>
      <c r="H32" s="6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</row>
    <row r="34">
      <c r="A34" s="6" t="n"/>
      <c r="B34" s="6" t="n"/>
      <c r="C34" s="6" t="n"/>
      <c r="D34" s="6" t="n"/>
      <c r="E34" s="6" t="n"/>
      <c r="F34" s="6" t="n"/>
      <c r="G34" s="6" t="n"/>
      <c r="H34" s="6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</row>
    <row r="36">
      <c r="A36" s="6" t="n"/>
      <c r="B36" s="6" t="n"/>
      <c r="C36" s="6" t="n"/>
      <c r="D36" s="6" t="n"/>
      <c r="E36" s="6" t="n"/>
      <c r="F36" s="6" t="n"/>
      <c r="G36" s="6" t="n"/>
      <c r="H36" s="6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</row>
    <row r="38">
      <c r="A38" s="6" t="n"/>
      <c r="B38" s="6" t="n"/>
      <c r="C38" s="6" t="n"/>
      <c r="D38" s="6" t="n"/>
      <c r="E38" s="6" t="n"/>
      <c r="F38" s="6" t="n"/>
      <c r="G38" s="6" t="n"/>
      <c r="H38" s="6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</row>
    <row r="40">
      <c r="A40" s="6" t="n"/>
      <c r="B40" s="6" t="n"/>
      <c r="C40" s="6" t="n"/>
      <c r="D40" s="6" t="n"/>
      <c r="E40" s="6" t="n"/>
      <c r="F40" s="6" t="n"/>
      <c r="G40" s="6" t="n"/>
      <c r="H40" s="6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</row>
    <row r="42">
      <c r="A42" s="6" t="n"/>
      <c r="B42" s="6" t="n"/>
      <c r="C42" s="6" t="n"/>
      <c r="D42" s="6" t="n"/>
      <c r="E42" s="6" t="n"/>
      <c r="F42" s="6" t="n"/>
      <c r="G42" s="6" t="n"/>
      <c r="H42" s="6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</row>
    <row r="44">
      <c r="A44" s="6" t="n"/>
      <c r="B44" s="6" t="n"/>
      <c r="C44" s="6" t="n"/>
      <c r="D44" s="6" t="n"/>
      <c r="E44" s="6" t="n"/>
      <c r="F44" s="6" t="n"/>
      <c r="G44" s="6" t="n"/>
      <c r="H44" s="6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</row>
    <row r="46">
      <c r="A46" s="6" t="n"/>
      <c r="B46" s="6" t="n"/>
      <c r="C46" s="6" t="n"/>
      <c r="D46" s="6" t="n"/>
      <c r="E46" s="6" t="n"/>
      <c r="F46" s="6" t="n"/>
      <c r="G46" s="6" t="n"/>
      <c r="H46" s="6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</row>
    <row r="48">
      <c r="A48" s="6" t="n"/>
      <c r="B48" s="6" t="n"/>
      <c r="C48" s="6" t="n"/>
      <c r="D48" s="6" t="n"/>
      <c r="E48" s="6" t="n"/>
      <c r="F48" s="6" t="n"/>
      <c r="G48" s="6" t="n"/>
      <c r="H48" s="6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</row>
    <row r="50">
      <c r="A50" s="6" t="n"/>
      <c r="B50" s="6" t="n"/>
      <c r="C50" s="6" t="n"/>
      <c r="D50" s="6" t="n"/>
      <c r="E50" s="6" t="n"/>
      <c r="F50" s="6" t="n"/>
      <c r="G50" s="6" t="n"/>
      <c r="H50" s="6" t="n"/>
    </row>
    <row r="51">
      <c r="A51" s="6" t="n"/>
      <c r="B51" s="6" t="n"/>
      <c r="C51" s="6" t="n"/>
      <c r="D51" s="6" t="n"/>
      <c r="E51" s="6" t="n"/>
      <c r="F51" s="6" t="n"/>
      <c r="G51" s="6" t="n"/>
      <c r="H51" s="6" t="n"/>
    </row>
    <row r="52">
      <c r="A52" s="6" t="n"/>
      <c r="B52" s="6" t="n"/>
      <c r="C52" s="6" t="n"/>
      <c r="D52" s="6" t="n"/>
      <c r="E52" s="6" t="n"/>
      <c r="F52" s="6" t="n"/>
      <c r="G52" s="6" t="n"/>
      <c r="H52" s="6" t="n"/>
    </row>
    <row r="53">
      <c r="A53" s="6" t="n"/>
      <c r="B53" s="6" t="n"/>
      <c r="C53" s="6" t="n"/>
      <c r="D53" s="6" t="n"/>
      <c r="E53" s="6" t="n"/>
      <c r="F53" s="6" t="n"/>
      <c r="G53" s="6" t="n"/>
      <c r="H53" s="6" t="n"/>
    </row>
    <row r="54">
      <c r="A54" s="6" t="n"/>
      <c r="B54" s="6" t="n"/>
      <c r="C54" s="6" t="n"/>
      <c r="D54" s="6" t="n"/>
      <c r="E54" s="6" t="n"/>
      <c r="F54" s="6" t="n"/>
      <c r="G54" s="6" t="n"/>
      <c r="H54" s="6" t="n"/>
    </row>
    <row r="55">
      <c r="A55" s="6" t="n"/>
      <c r="B55" s="6" t="n"/>
      <c r="C55" s="6" t="n"/>
      <c r="D55" s="6" t="n"/>
      <c r="E55" s="6" t="n"/>
      <c r="F55" s="6" t="n"/>
      <c r="G55" s="6" t="n"/>
      <c r="H55" s="6" t="n"/>
    </row>
    <row r="56">
      <c r="A56" s="6" t="n"/>
      <c r="B56" s="6" t="n"/>
      <c r="C56" s="6" t="n"/>
      <c r="D56" s="6" t="n"/>
      <c r="E56" s="6" t="n"/>
      <c r="F56" s="6" t="n"/>
      <c r="G56" s="6" t="n"/>
      <c r="H56" s="6" t="n"/>
    </row>
    <row r="57">
      <c r="A57" s="6" t="n"/>
      <c r="B57" s="6" t="n"/>
      <c r="C57" s="6" t="n"/>
      <c r="D57" s="6" t="n"/>
      <c r="E57" s="6" t="n"/>
      <c r="F57" s="6" t="n"/>
      <c r="G57" s="6" t="n"/>
      <c r="H57" s="6" t="n"/>
    </row>
    <row r="58">
      <c r="A58" s="6" t="n"/>
      <c r="B58" s="6" t="n"/>
      <c r="C58" s="6" t="n"/>
      <c r="D58" s="6" t="n"/>
      <c r="E58" s="6" t="n"/>
      <c r="F58" s="6" t="n"/>
      <c r="G58" s="6" t="n"/>
      <c r="H58" s="6" t="n"/>
    </row>
    <row r="59">
      <c r="A59" s="6" t="n"/>
      <c r="B59" s="6" t="n"/>
      <c r="C59" s="6" t="n"/>
      <c r="D59" s="6" t="n"/>
      <c r="E59" s="6" t="n"/>
      <c r="F59" s="6" t="n"/>
      <c r="G59" s="6" t="n"/>
      <c r="H59" s="6" t="n"/>
    </row>
    <row r="60">
      <c r="A60" s="6" t="n"/>
      <c r="B60" s="6" t="n"/>
      <c r="C60" s="6" t="n"/>
      <c r="D60" s="6" t="n"/>
      <c r="E60" s="6" t="n"/>
      <c r="F60" s="6" t="n"/>
      <c r="G60" s="6" t="n"/>
      <c r="H60" s="6" t="n"/>
    </row>
    <row r="61">
      <c r="A61" s="6" t="n"/>
      <c r="B61" s="6" t="n"/>
      <c r="C61" s="6" t="n"/>
      <c r="D61" s="6" t="n"/>
      <c r="E61" s="6" t="n"/>
      <c r="F61" s="6" t="n"/>
      <c r="G61" s="6" t="n"/>
      <c r="H61" s="6" t="n"/>
    </row>
    <row r="62">
      <c r="A62" s="6" t="n"/>
      <c r="B62" s="6" t="n"/>
      <c r="C62" s="6" t="n"/>
      <c r="D62" s="6" t="n"/>
      <c r="E62" s="6" t="n"/>
      <c r="F62" s="6" t="n"/>
      <c r="G62" s="6" t="n"/>
      <c r="H62" s="6" t="n"/>
    </row>
    <row r="63">
      <c r="A63" s="6" t="n"/>
      <c r="B63" s="6" t="n"/>
      <c r="C63" s="6" t="n"/>
      <c r="D63" s="6" t="n"/>
      <c r="E63" s="6" t="n"/>
      <c r="F63" s="6" t="n"/>
      <c r="G63" s="6" t="n"/>
      <c r="H63" s="6" t="n"/>
    </row>
    <row r="64">
      <c r="A64" s="6" t="n"/>
      <c r="B64" s="6" t="n"/>
      <c r="C64" s="6" t="n"/>
      <c r="D64" s="6" t="n"/>
      <c r="E64" s="6" t="n"/>
      <c r="F64" s="6" t="n"/>
      <c r="G64" s="6" t="n"/>
      <c r="H64" s="6" t="n"/>
    </row>
    <row r="65">
      <c r="A65" s="6" t="n"/>
      <c r="B65" s="6" t="n"/>
      <c r="C65" s="6" t="n"/>
      <c r="D65" s="6" t="n"/>
      <c r="E65" s="6" t="n"/>
      <c r="F65" s="6" t="n"/>
      <c r="G65" s="6" t="n"/>
      <c r="H65" s="6" t="n"/>
    </row>
    <row r="66">
      <c r="A66" s="6" t="n"/>
      <c r="B66" s="6" t="n"/>
      <c r="C66" s="6" t="n"/>
      <c r="D66" s="6" t="n"/>
      <c r="E66" s="6" t="n"/>
      <c r="F66" s="6" t="n"/>
      <c r="G66" s="6" t="n"/>
      <c r="H66" s="6" t="n"/>
    </row>
    <row r="67">
      <c r="A67" s="6" t="n"/>
      <c r="B67" s="6" t="n"/>
      <c r="C67" s="6" t="n"/>
      <c r="D67" s="6" t="n"/>
      <c r="E67" s="6" t="n"/>
      <c r="F67" s="6" t="n"/>
      <c r="G67" s="6" t="n"/>
      <c r="H67" s="6" t="n"/>
    </row>
    <row r="68">
      <c r="A68" s="6" t="n"/>
      <c r="B68" s="6" t="n"/>
      <c r="C68" s="6" t="n"/>
      <c r="D68" s="6" t="n"/>
      <c r="E68" s="6" t="n"/>
      <c r="F68" s="6" t="n"/>
      <c r="G68" s="6" t="n"/>
      <c r="H68" s="6" t="n"/>
    </row>
    <row r="69">
      <c r="A69" s="6" t="n"/>
      <c r="B69" s="6" t="n"/>
      <c r="C69" s="6" t="n"/>
      <c r="D69" s="6" t="n"/>
      <c r="E69" s="6" t="n"/>
      <c r="F69" s="6" t="n"/>
      <c r="G69" s="6" t="n"/>
      <c r="H69" s="6" t="n"/>
    </row>
    <row r="70">
      <c r="A70" s="6" t="n"/>
      <c r="B70" s="6" t="n"/>
      <c r="C70" s="6" t="n"/>
      <c r="D70" s="6" t="n"/>
      <c r="E70" s="6" t="n"/>
      <c r="F70" s="6" t="n"/>
      <c r="G70" s="6" t="n"/>
      <c r="H70" s="6" t="n"/>
    </row>
    <row r="71">
      <c r="A71" s="6" t="n"/>
      <c r="B71" s="6" t="n"/>
      <c r="C71" s="6" t="n"/>
      <c r="D71" s="6" t="n"/>
      <c r="E71" s="6" t="n"/>
      <c r="F71" s="6" t="n"/>
      <c r="G71" s="6" t="n"/>
      <c r="H71" s="6" t="n"/>
    </row>
    <row r="72">
      <c r="A72" s="6" t="n"/>
      <c r="B72" s="6" t="n"/>
      <c r="C72" s="6" t="n"/>
      <c r="D72" s="6" t="n"/>
      <c r="E72" s="6" t="n"/>
      <c r="F72" s="6" t="n"/>
      <c r="G72" s="6" t="n"/>
      <c r="H72" s="6" t="n"/>
    </row>
    <row r="73">
      <c r="A73" s="6" t="n"/>
      <c r="B73" s="6" t="n"/>
      <c r="C73" s="6" t="n"/>
      <c r="D73" s="6" t="n"/>
      <c r="E73" s="6" t="n"/>
      <c r="F73" s="6" t="n"/>
      <c r="G73" s="6" t="n"/>
      <c r="H73" s="6" t="n"/>
    </row>
    <row r="74">
      <c r="A74" s="6" t="n"/>
      <c r="B74" s="6" t="n"/>
      <c r="C74" s="6" t="n"/>
      <c r="D74" s="6" t="n"/>
      <c r="E74" s="6" t="n"/>
      <c r="F74" s="6" t="n"/>
      <c r="G74" s="6" t="n"/>
      <c r="H74" s="6" t="n"/>
    </row>
    <row r="75">
      <c r="A75" s="6" t="n"/>
      <c r="B75" s="6" t="n"/>
      <c r="C75" s="6" t="n"/>
      <c r="D75" s="6" t="n"/>
      <c r="E75" s="6" t="n"/>
      <c r="F75" s="6" t="n"/>
      <c r="G75" s="6" t="n"/>
      <c r="H75" s="6" t="n"/>
    </row>
    <row r="76">
      <c r="A76" s="6" t="n"/>
      <c r="B76" s="6" t="n"/>
      <c r="C76" s="6" t="n"/>
      <c r="D76" s="6" t="n"/>
      <c r="E76" s="6" t="n"/>
      <c r="F76" s="6" t="n"/>
      <c r="G76" s="6" t="n"/>
      <c r="H76" s="6" t="n"/>
    </row>
    <row r="77">
      <c r="A77" s="6" t="n"/>
      <c r="B77" s="6" t="n"/>
      <c r="C77" s="6" t="n"/>
      <c r="D77" s="6" t="n"/>
      <c r="E77" s="6" t="n"/>
      <c r="F77" s="6" t="n"/>
      <c r="G77" s="6" t="n"/>
      <c r="H77" s="6" t="n"/>
    </row>
    <row r="78">
      <c r="A78" s="6" t="n"/>
      <c r="B78" s="6" t="n"/>
      <c r="C78" s="6" t="n"/>
      <c r="D78" s="6" t="n"/>
      <c r="E78" s="6" t="n"/>
      <c r="F78" s="6" t="n"/>
      <c r="G78" s="6" t="n"/>
      <c r="H78" s="6" t="n"/>
    </row>
    <row r="79">
      <c r="A79" s="6" t="n"/>
      <c r="B79" s="6" t="n"/>
      <c r="C79" s="6" t="n"/>
      <c r="D79" s="6" t="n"/>
      <c r="E79" s="6" t="n"/>
      <c r="F79" s="6" t="n"/>
      <c r="G79" s="6" t="n"/>
      <c r="H79" s="6" t="n"/>
    </row>
    <row r="80">
      <c r="A80" s="6" t="n"/>
      <c r="B80" s="6" t="n"/>
      <c r="C80" s="6" t="n"/>
      <c r="D80" s="6" t="n"/>
      <c r="E80" s="6" t="n"/>
      <c r="F80" s="6" t="n"/>
      <c r="G80" s="6" t="n"/>
      <c r="H80" s="6" t="n"/>
    </row>
    <row r="81">
      <c r="A81" s="6" t="n"/>
      <c r="B81" s="6" t="n"/>
      <c r="C81" s="6" t="n"/>
      <c r="D81" s="6" t="n"/>
      <c r="E81" s="6" t="n"/>
      <c r="F81" s="6" t="n"/>
      <c r="G81" s="6" t="n"/>
      <c r="H81" s="6" t="n"/>
    </row>
    <row r="82">
      <c r="A82" s="6" t="n"/>
      <c r="B82" s="6" t="n"/>
      <c r="C82" s="6" t="n"/>
      <c r="D82" s="6" t="n"/>
      <c r="E82" s="6" t="n"/>
      <c r="F82" s="6" t="n"/>
      <c r="G82" s="6" t="n"/>
      <c r="H82" s="6" t="n"/>
    </row>
    <row r="83">
      <c r="A83" s="6" t="n"/>
      <c r="B83" s="6" t="n"/>
      <c r="C83" s="6" t="n"/>
      <c r="D83" s="6" t="n"/>
      <c r="E83" s="6" t="n"/>
      <c r="F83" s="6" t="n"/>
      <c r="G83" s="6" t="n"/>
      <c r="H83" s="6" t="n"/>
    </row>
    <row r="84">
      <c r="A84" s="6" t="n"/>
      <c r="B84" s="6" t="n"/>
      <c r="C84" s="6" t="n"/>
      <c r="D84" s="6" t="n"/>
      <c r="E84" s="6" t="n"/>
      <c r="F84" s="6" t="n"/>
      <c r="G84" s="6" t="n"/>
      <c r="H84" s="6" t="n"/>
    </row>
    <row r="85">
      <c r="A85" s="6" t="n"/>
      <c r="B85" s="6" t="n"/>
      <c r="C85" s="6" t="n"/>
      <c r="D85" s="6" t="n"/>
      <c r="E85" s="6" t="n"/>
      <c r="F85" s="6" t="n"/>
      <c r="G85" s="6" t="n"/>
      <c r="H85" s="6" t="n"/>
    </row>
    <row r="86">
      <c r="A86" s="6" t="n"/>
      <c r="B86" s="6" t="n"/>
      <c r="C86" s="6" t="n"/>
      <c r="D86" s="6" t="n"/>
      <c r="E86" s="6" t="n"/>
      <c r="F86" s="6" t="n"/>
      <c r="G86" s="6" t="n"/>
      <c r="H86" s="6" t="n"/>
    </row>
    <row r="87">
      <c r="A87" s="6" t="n"/>
      <c r="B87" s="6" t="n"/>
      <c r="C87" s="6" t="n"/>
      <c r="D87" s="6" t="n"/>
      <c r="E87" s="6" t="n"/>
      <c r="F87" s="6" t="n"/>
      <c r="G87" s="6" t="n"/>
      <c r="H87" s="6" t="n"/>
    </row>
    <row r="88">
      <c r="A88" s="6" t="n"/>
      <c r="B88" s="6" t="n"/>
      <c r="C88" s="6" t="n"/>
      <c r="D88" s="6" t="n"/>
      <c r="E88" s="6" t="n"/>
      <c r="F88" s="6" t="n"/>
      <c r="G88" s="6" t="n"/>
      <c r="H88" s="6" t="n"/>
    </row>
    <row r="89">
      <c r="A89" s="6" t="n"/>
      <c r="B89" s="6" t="n"/>
      <c r="C89" s="6" t="n"/>
      <c r="D89" s="6" t="n"/>
      <c r="E89" s="6" t="n"/>
      <c r="F89" s="6" t="n"/>
      <c r="G89" s="6" t="n"/>
      <c r="H89" s="6" t="n"/>
    </row>
    <row r="90">
      <c r="A90" s="6" t="n"/>
      <c r="B90" s="6" t="n"/>
      <c r="C90" s="6" t="n"/>
      <c r="D90" s="6" t="n"/>
      <c r="E90" s="6" t="n"/>
      <c r="F90" s="6" t="n"/>
      <c r="G90" s="6" t="n"/>
      <c r="H90" s="6" t="n"/>
    </row>
    <row r="91">
      <c r="A91" s="6" t="n"/>
      <c r="B91" s="6" t="n"/>
      <c r="C91" s="6" t="n"/>
      <c r="D91" s="6" t="n"/>
      <c r="E91" s="6" t="n"/>
      <c r="F91" s="6" t="n"/>
      <c r="G91" s="6" t="n"/>
      <c r="H91" s="6" t="n"/>
    </row>
    <row r="92">
      <c r="A92" s="6" t="n"/>
      <c r="B92" s="6" t="n"/>
      <c r="C92" s="6" t="n"/>
      <c r="D92" s="6" t="n"/>
      <c r="E92" s="6" t="n"/>
      <c r="F92" s="6" t="n"/>
      <c r="G92" s="6" t="n"/>
      <c r="H92" s="6" t="n"/>
    </row>
    <row r="93">
      <c r="A93" s="6" t="n"/>
      <c r="B93" s="6" t="n"/>
      <c r="C93" s="6" t="n"/>
      <c r="D93" s="6" t="n"/>
      <c r="E93" s="6" t="n"/>
      <c r="F93" s="6" t="n"/>
      <c r="G93" s="6" t="n"/>
      <c r="H93" s="6" t="n"/>
    </row>
    <row r="94">
      <c r="A94" s="6" t="n"/>
      <c r="B94" s="6" t="n"/>
      <c r="C94" s="6" t="n"/>
      <c r="D94" s="6" t="n"/>
      <c r="E94" s="6" t="n"/>
      <c r="F94" s="6" t="n"/>
      <c r="G94" s="6" t="n"/>
      <c r="H94" s="6" t="n"/>
    </row>
    <row r="95">
      <c r="A95" s="6" t="n"/>
      <c r="B95" s="6" t="n"/>
      <c r="C95" s="6" t="n"/>
      <c r="D95" s="6" t="n"/>
      <c r="E95" s="6" t="n"/>
      <c r="F95" s="6" t="n"/>
      <c r="G95" s="6" t="n"/>
      <c r="H95" s="6" t="n"/>
    </row>
    <row r="96">
      <c r="A96" s="6" t="n"/>
      <c r="B96" s="6" t="n"/>
      <c r="C96" s="6" t="n"/>
      <c r="D96" s="6" t="n"/>
      <c r="E96" s="6" t="n"/>
      <c r="F96" s="6" t="n"/>
      <c r="G96" s="6" t="n"/>
      <c r="H96" s="6" t="n"/>
    </row>
    <row r="97">
      <c r="A97" s="6" t="n"/>
      <c r="B97" s="6" t="n"/>
      <c r="C97" s="6" t="n"/>
      <c r="D97" s="6" t="n"/>
      <c r="E97" s="6" t="n"/>
      <c r="F97" s="6" t="n"/>
      <c r="G97" s="6" t="n"/>
      <c r="H97" s="6" t="n"/>
    </row>
    <row r="98">
      <c r="A98" s="6" t="n"/>
      <c r="B98" s="6" t="n"/>
      <c r="C98" s="6" t="n"/>
      <c r="D98" s="6" t="n"/>
      <c r="E98" s="6" t="n"/>
      <c r="F98" s="6" t="n"/>
      <c r="G98" s="6" t="n"/>
      <c r="H98" s="6" t="n"/>
    </row>
    <row r="99">
      <c r="A99" s="6" t="n"/>
      <c r="B99" s="6" t="n"/>
      <c r="C99" s="6" t="n"/>
      <c r="D99" s="6" t="n"/>
      <c r="E99" s="6" t="n"/>
      <c r="F99" s="6" t="n"/>
      <c r="G99" s="6" t="n"/>
      <c r="H99" s="6" t="n"/>
    </row>
    <row r="100">
      <c r="A100" s="6" t="n"/>
      <c r="B100" s="6" t="n"/>
      <c r="C100" s="6" t="n"/>
      <c r="D100" s="6" t="n"/>
      <c r="E100" s="6" t="n"/>
      <c r="F100" s="6" t="n"/>
      <c r="G100" s="6" t="n"/>
      <c r="H100" s="6" t="n"/>
    </row>
    <row r="101">
      <c r="A101" s="6" t="n"/>
      <c r="B101" s="6" t="n"/>
      <c r="C101" s="6" t="n"/>
      <c r="D101" s="6" t="n"/>
      <c r="E101" s="6" t="n"/>
      <c r="F101" s="6" t="n"/>
      <c r="G101" s="6" t="n"/>
      <c r="H101" s="6" t="n"/>
    </row>
    <row r="102">
      <c r="A102" s="6" t="n"/>
      <c r="B102" s="6" t="n"/>
      <c r="C102" s="6" t="n"/>
      <c r="D102" s="6" t="n"/>
      <c r="E102" s="6" t="n"/>
      <c r="F102" s="6" t="n"/>
      <c r="G102" s="6" t="n"/>
      <c r="H102" s="6" t="n"/>
    </row>
    <row r="103">
      <c r="A103" s="6" t="n"/>
      <c r="B103" s="6" t="n"/>
      <c r="C103" s="6" t="n"/>
      <c r="D103" s="6" t="n"/>
      <c r="E103" s="6" t="n"/>
      <c r="F103" s="6" t="n"/>
      <c r="G103" s="6" t="n"/>
      <c r="H103" s="6" t="n"/>
    </row>
    <row r="104">
      <c r="A104" s="6" t="n"/>
      <c r="B104" s="6" t="n"/>
      <c r="C104" s="6" t="n"/>
      <c r="D104" s="6" t="n"/>
      <c r="E104" s="6" t="n"/>
      <c r="F104" s="6" t="n"/>
      <c r="G104" s="6" t="n"/>
      <c r="H104" s="6" t="n"/>
    </row>
    <row r="105">
      <c r="A105" s="6" t="n"/>
      <c r="B105" s="6" t="n"/>
      <c r="C105" s="6" t="n"/>
      <c r="D105" s="6" t="n"/>
      <c r="E105" s="6" t="n"/>
      <c r="F105" s="6" t="n"/>
      <c r="G105" s="6" t="n"/>
      <c r="H105" s="6" t="n"/>
    </row>
    <row r="106">
      <c r="A106" s="6" t="n"/>
      <c r="B106" s="6" t="n"/>
      <c r="C106" s="6" t="n"/>
      <c r="D106" s="6" t="n"/>
      <c r="E106" s="6" t="n"/>
      <c r="F106" s="6" t="n"/>
      <c r="G106" s="6" t="n"/>
      <c r="H106" s="6" t="n"/>
    </row>
    <row r="107">
      <c r="A107" s="6" t="n"/>
      <c r="B107" s="6" t="n"/>
      <c r="C107" s="6" t="n"/>
      <c r="D107" s="6" t="n"/>
      <c r="E107" s="6" t="n"/>
      <c r="F107" s="6" t="n"/>
      <c r="G107" s="6" t="n"/>
      <c r="H107" s="6" t="n"/>
    </row>
    <row r="108">
      <c r="A108" s="6" t="n"/>
      <c r="B108" s="6" t="n"/>
      <c r="C108" s="6" t="n"/>
      <c r="D108" s="6" t="n"/>
      <c r="E108" s="6" t="n"/>
      <c r="F108" s="6" t="n"/>
      <c r="G108" s="6" t="n"/>
      <c r="H108" s="6" t="n"/>
    </row>
    <row r="109">
      <c r="A109" s="6" t="n"/>
      <c r="B109" s="6" t="n"/>
      <c r="C109" s="6" t="n"/>
      <c r="D109" s="6" t="n"/>
      <c r="E109" s="6" t="n"/>
      <c r="F109" s="6" t="n"/>
      <c r="G109" s="6" t="n"/>
      <c r="H109" s="6" t="n"/>
    </row>
    <row r="110">
      <c r="A110" s="6" t="n"/>
      <c r="B110" s="6" t="n"/>
      <c r="C110" s="6" t="n"/>
      <c r="D110" s="6" t="n"/>
      <c r="E110" s="6" t="n"/>
      <c r="F110" s="6" t="n"/>
      <c r="G110" s="6" t="n"/>
      <c r="H110" s="6" t="n"/>
    </row>
    <row r="111">
      <c r="A111" s="6" t="n"/>
      <c r="B111" s="6" t="n"/>
      <c r="C111" s="6" t="n"/>
      <c r="D111" s="6" t="n"/>
      <c r="E111" s="6" t="n"/>
      <c r="F111" s="6" t="n"/>
      <c r="G111" s="6" t="n"/>
      <c r="H111" s="6" t="n"/>
    </row>
    <row r="112">
      <c r="A112" s="6" t="n"/>
      <c r="B112" s="6" t="n"/>
      <c r="C112" s="6" t="n"/>
      <c r="D112" s="6" t="n"/>
      <c r="E112" s="6" t="n"/>
      <c r="F112" s="6" t="n"/>
      <c r="G112" s="6" t="n"/>
      <c r="H112" s="6" t="n"/>
    </row>
    <row r="113">
      <c r="A113" s="6" t="n"/>
      <c r="B113" s="6" t="n"/>
      <c r="C113" s="6" t="n"/>
      <c r="D113" s="6" t="n"/>
      <c r="E113" s="6" t="n"/>
      <c r="F113" s="6" t="n"/>
      <c r="G113" s="6" t="n"/>
      <c r="H113" s="6" t="n"/>
    </row>
    <row r="114">
      <c r="A114" s="6" t="n"/>
      <c r="B114" s="6" t="n"/>
      <c r="C114" s="6" t="n"/>
      <c r="D114" s="6" t="n"/>
      <c r="E114" s="6" t="n"/>
      <c r="F114" s="6" t="n"/>
      <c r="G114" s="6" t="n"/>
      <c r="H114" s="6" t="n"/>
    </row>
    <row r="115">
      <c r="A115" s="6" t="n"/>
      <c r="B115" s="6" t="n"/>
      <c r="C115" s="6" t="n"/>
      <c r="D115" s="6" t="n"/>
      <c r="E115" s="6" t="n"/>
      <c r="F115" s="6" t="n"/>
      <c r="G115" s="6" t="n"/>
      <c r="H115" s="6" t="n"/>
    </row>
    <row r="116">
      <c r="A116" s="6" t="n"/>
      <c r="B116" s="6" t="n"/>
      <c r="C116" s="6" t="n"/>
      <c r="D116" s="6" t="n"/>
      <c r="E116" s="6" t="n"/>
      <c r="F116" s="6" t="n"/>
      <c r="G116" s="6" t="n"/>
      <c r="H116" s="6" t="n"/>
    </row>
    <row r="117">
      <c r="A117" s="6" t="n"/>
      <c r="B117" s="6" t="n"/>
      <c r="C117" s="6" t="n"/>
      <c r="D117" s="6" t="n"/>
      <c r="E117" s="6" t="n"/>
      <c r="F117" s="6" t="n"/>
      <c r="G117" s="6" t="n"/>
      <c r="H117" s="6" t="n"/>
    </row>
    <row r="118">
      <c r="A118" s="6" t="n"/>
      <c r="B118" s="6" t="n"/>
      <c r="C118" s="6" t="n"/>
      <c r="D118" s="6" t="n"/>
      <c r="E118" s="6" t="n"/>
      <c r="F118" s="6" t="n"/>
      <c r="G118" s="6" t="n"/>
      <c r="H118" s="6" t="n"/>
    </row>
    <row r="119">
      <c r="A119" s="6" t="n"/>
      <c r="B119" s="6" t="n"/>
      <c r="C119" s="6" t="n"/>
      <c r="D119" s="6" t="n"/>
      <c r="E119" s="6" t="n"/>
      <c r="F119" s="6" t="n"/>
      <c r="G119" s="6" t="n"/>
      <c r="H119" s="6" t="n"/>
    </row>
    <row r="120">
      <c r="A120" s="6" t="n"/>
      <c r="B120" s="6" t="n"/>
      <c r="C120" s="6" t="n"/>
      <c r="D120" s="6" t="n"/>
      <c r="E120" s="6" t="n"/>
      <c r="F120" s="6" t="n"/>
      <c r="G120" s="6" t="n"/>
      <c r="H120" s="6" t="n"/>
    </row>
    <row r="121">
      <c r="A121" s="6" t="n"/>
      <c r="B121" s="6" t="n"/>
      <c r="C121" s="6" t="n"/>
      <c r="D121" s="6" t="n"/>
      <c r="E121" s="6" t="n"/>
      <c r="F121" s="6" t="n"/>
      <c r="G121" s="6" t="n"/>
      <c r="H121" s="6" t="n"/>
    </row>
    <row r="122">
      <c r="A122" s="6" t="n"/>
      <c r="B122" s="6" t="n"/>
      <c r="C122" s="6" t="n"/>
      <c r="D122" s="6" t="n"/>
      <c r="E122" s="6" t="n"/>
      <c r="F122" s="6" t="n"/>
      <c r="G122" s="6" t="n"/>
      <c r="H122" s="6" t="n"/>
    </row>
    <row r="123">
      <c r="A123" s="6" t="n"/>
      <c r="B123" s="6" t="n"/>
      <c r="C123" s="6" t="n"/>
      <c r="D123" s="6" t="n"/>
      <c r="E123" s="6" t="n"/>
      <c r="F123" s="6" t="n"/>
      <c r="G123" s="6" t="n"/>
      <c r="H123" s="6" t="n"/>
    </row>
    <row r="124">
      <c r="A124" s="6" t="n"/>
      <c r="B124" s="6" t="n"/>
      <c r="C124" s="6" t="n"/>
      <c r="D124" s="6" t="n"/>
      <c r="E124" s="6" t="n"/>
      <c r="F124" s="6" t="n"/>
      <c r="G124" s="6" t="n"/>
      <c r="H124" s="6" t="n"/>
    </row>
    <row r="125">
      <c r="A125" s="6" t="n"/>
      <c r="B125" s="6" t="n"/>
      <c r="C125" s="6" t="n"/>
      <c r="D125" s="6" t="n"/>
      <c r="E125" s="6" t="n"/>
      <c r="F125" s="6" t="n"/>
      <c r="G125" s="6" t="n"/>
      <c r="H125" s="6" t="n"/>
    </row>
    <row r="126">
      <c r="A126" s="6" t="n"/>
      <c r="B126" s="6" t="n"/>
      <c r="C126" s="6" t="n"/>
      <c r="D126" s="6" t="n"/>
      <c r="E126" s="6" t="n"/>
      <c r="F126" s="6" t="n"/>
      <c r="G126" s="6" t="n"/>
      <c r="H126" s="6" t="n"/>
    </row>
    <row r="127">
      <c r="A127" s="6" t="n"/>
      <c r="B127" s="6" t="n"/>
      <c r="C127" s="6" t="n"/>
      <c r="D127" s="6" t="n"/>
      <c r="E127" s="6" t="n"/>
      <c r="F127" s="6" t="n"/>
      <c r="G127" s="6" t="n"/>
      <c r="H127" s="6" t="n"/>
    </row>
    <row r="128">
      <c r="A128" s="6" t="n"/>
      <c r="B128" s="6" t="n"/>
      <c r="C128" s="6" t="n"/>
      <c r="D128" s="6" t="n"/>
      <c r="E128" s="6" t="n"/>
      <c r="F128" s="6" t="n"/>
      <c r="G128" s="6" t="n"/>
      <c r="H128" s="6" t="n"/>
    </row>
    <row r="129">
      <c r="A129" s="6" t="n"/>
      <c r="B129" s="6" t="n"/>
      <c r="C129" s="6" t="n"/>
      <c r="D129" s="6" t="n"/>
      <c r="E129" s="6" t="n"/>
      <c r="F129" s="6" t="n"/>
      <c r="G129" s="6" t="n"/>
      <c r="H129" s="6" t="n"/>
    </row>
    <row r="130">
      <c r="A130" s="6" t="n"/>
      <c r="B130" s="6" t="n"/>
      <c r="C130" s="6" t="n"/>
      <c r="D130" s="6" t="n"/>
      <c r="E130" s="6" t="n"/>
      <c r="F130" s="6" t="n"/>
      <c r="G130" s="6" t="n"/>
      <c r="H130" s="6" t="n"/>
    </row>
    <row r="131">
      <c r="A131" s="6" t="n"/>
      <c r="B131" s="6" t="n"/>
      <c r="C131" s="6" t="n"/>
      <c r="D131" s="6" t="n"/>
      <c r="E131" s="6" t="n"/>
      <c r="F131" s="6" t="n"/>
      <c r="G131" s="6" t="n"/>
      <c r="H131" s="6" t="n"/>
    </row>
    <row r="132">
      <c r="A132" s="6" t="n"/>
      <c r="B132" s="6" t="n"/>
      <c r="C132" s="6" t="n"/>
      <c r="D132" s="6" t="n"/>
      <c r="E132" s="6" t="n"/>
      <c r="F132" s="6" t="n"/>
      <c r="G132" s="6" t="n"/>
      <c r="H132" s="6" t="n"/>
    </row>
    <row r="133">
      <c r="A133" s="6" t="n"/>
      <c r="B133" s="6" t="n"/>
      <c r="C133" s="6" t="n"/>
      <c r="D133" s="6" t="n"/>
      <c r="E133" s="6" t="n"/>
      <c r="F133" s="6" t="n"/>
      <c r="G133" s="6" t="n"/>
      <c r="H133" s="6" t="n"/>
    </row>
    <row r="134">
      <c r="A134" s="6" t="n"/>
      <c r="B134" s="6" t="n"/>
      <c r="C134" s="6" t="n"/>
      <c r="D134" s="6" t="n"/>
      <c r="E134" s="6" t="n"/>
      <c r="F134" s="6" t="n"/>
      <c r="G134" s="6" t="n"/>
      <c r="H134" s="6" t="n"/>
    </row>
    <row r="135">
      <c r="A135" s="6" t="n"/>
      <c r="B135" s="6" t="n"/>
      <c r="C135" s="6" t="n"/>
      <c r="D135" s="6" t="n"/>
      <c r="E135" s="6" t="n"/>
      <c r="F135" s="6" t="n"/>
      <c r="G135" s="6" t="n"/>
      <c r="H135" s="6" t="n"/>
    </row>
    <row r="136">
      <c r="A136" s="6" t="n"/>
      <c r="B136" s="6" t="n"/>
      <c r="C136" s="6" t="n"/>
      <c r="D136" s="6" t="n"/>
      <c r="E136" s="6" t="n"/>
      <c r="F136" s="6" t="n"/>
      <c r="G136" s="6" t="n"/>
      <c r="H136" s="6" t="n"/>
    </row>
    <row r="137">
      <c r="A137" s="6" t="n"/>
      <c r="B137" s="6" t="n"/>
      <c r="C137" s="6" t="n"/>
      <c r="D137" s="6" t="n"/>
      <c r="E137" s="6" t="n"/>
      <c r="F137" s="6" t="n"/>
      <c r="G137" s="6" t="n"/>
      <c r="H137" s="6" t="n"/>
    </row>
    <row r="138">
      <c r="A138" s="6" t="n"/>
      <c r="B138" s="6" t="n"/>
      <c r="C138" s="6" t="n"/>
      <c r="D138" s="6" t="n"/>
      <c r="E138" s="6" t="n"/>
      <c r="F138" s="6" t="n"/>
      <c r="G138" s="6" t="n"/>
      <c r="H138" s="6" t="n"/>
    </row>
    <row r="139">
      <c r="A139" s="6" t="n"/>
      <c r="B139" s="6" t="n"/>
      <c r="C139" s="6" t="n"/>
      <c r="D139" s="6" t="n"/>
      <c r="E139" s="6" t="n"/>
      <c r="F139" s="6" t="n"/>
      <c r="G139" s="6" t="n"/>
      <c r="H139" s="6" t="n"/>
    </row>
    <row r="140">
      <c r="A140" s="6" t="n"/>
      <c r="B140" s="6" t="n"/>
      <c r="C140" s="6" t="n"/>
      <c r="D140" s="6" t="n"/>
      <c r="E140" s="6" t="n"/>
      <c r="F140" s="6" t="n"/>
      <c r="G140" s="6" t="n"/>
      <c r="H140" s="6" t="n"/>
    </row>
    <row r="141">
      <c r="A141" s="6" t="n"/>
      <c r="B141" s="6" t="n"/>
      <c r="C141" s="6" t="n"/>
      <c r="D141" s="6" t="n"/>
      <c r="E141" s="6" t="n"/>
      <c r="F141" s="6" t="n"/>
      <c r="G141" s="6" t="n"/>
      <c r="H141" s="6" t="n"/>
    </row>
    <row r="142">
      <c r="A142" s="6" t="n"/>
      <c r="B142" s="6" t="n"/>
      <c r="C142" s="6" t="n"/>
      <c r="D142" s="6" t="n"/>
      <c r="E142" s="6" t="n"/>
      <c r="F142" s="6" t="n"/>
      <c r="G142" s="6" t="n"/>
      <c r="H142" s="6" t="n"/>
    </row>
    <row r="143">
      <c r="A143" s="6" t="n"/>
      <c r="B143" s="6" t="n"/>
      <c r="C143" s="6" t="n"/>
      <c r="D143" s="6" t="n"/>
      <c r="E143" s="6" t="n"/>
      <c r="F143" s="6" t="n"/>
      <c r="G143" s="6" t="n"/>
      <c r="H143" s="6" t="n"/>
    </row>
    <row r="144">
      <c r="A144" s="6" t="n"/>
      <c r="B144" s="6" t="n"/>
      <c r="C144" s="6" t="n"/>
      <c r="D144" s="6" t="n"/>
      <c r="E144" s="6" t="n"/>
      <c r="F144" s="6" t="n"/>
      <c r="G144" s="6" t="n"/>
      <c r="H144" s="6" t="n"/>
    </row>
    <row r="145">
      <c r="A145" s="6" t="n"/>
      <c r="B145" s="6" t="n"/>
      <c r="C145" s="6" t="n"/>
      <c r="D145" s="6" t="n"/>
      <c r="E145" s="6" t="n"/>
      <c r="F145" s="6" t="n"/>
      <c r="G145" s="6" t="n"/>
      <c r="H145" s="6" t="n"/>
    </row>
    <row r="146">
      <c r="A146" s="6" t="n"/>
      <c r="B146" s="6" t="n"/>
      <c r="C146" s="6" t="n"/>
      <c r="D146" s="6" t="n"/>
      <c r="E146" s="6" t="n"/>
      <c r="F146" s="6" t="n"/>
      <c r="G146" s="6" t="n"/>
      <c r="H146" s="6" t="n"/>
    </row>
    <row r="147">
      <c r="A147" s="6" t="n"/>
      <c r="B147" s="6" t="n"/>
      <c r="C147" s="6" t="n"/>
      <c r="D147" s="6" t="n"/>
      <c r="E147" s="6" t="n"/>
      <c r="F147" s="6" t="n"/>
      <c r="G147" s="6" t="n"/>
      <c r="H147" s="6" t="n"/>
    </row>
    <row r="148">
      <c r="A148" s="6" t="n"/>
      <c r="B148" s="6" t="n"/>
      <c r="C148" s="6" t="n"/>
      <c r="D148" s="6" t="n"/>
      <c r="E148" s="6" t="n"/>
      <c r="F148" s="6" t="n"/>
      <c r="G148" s="6" t="n"/>
      <c r="H148" s="6" t="n"/>
    </row>
    <row r="149">
      <c r="A149" s="6" t="n"/>
      <c r="B149" s="6" t="n"/>
      <c r="C149" s="6" t="n"/>
      <c r="D149" s="6" t="n"/>
      <c r="E149" s="6" t="n"/>
      <c r="F149" s="6" t="n"/>
      <c r="G149" s="6" t="n"/>
      <c r="H149" s="6" t="n"/>
    </row>
    <row r="150">
      <c r="A150" s="6" t="n"/>
      <c r="B150" s="6" t="n"/>
      <c r="C150" s="6" t="n"/>
      <c r="D150" s="6" t="n"/>
      <c r="E150" s="6" t="n"/>
      <c r="F150" s="6" t="n"/>
      <c r="G150" s="6" t="n"/>
      <c r="H150" s="6" t="n"/>
    </row>
    <row r="151">
      <c r="A151" s="6" t="n"/>
      <c r="B151" s="6" t="n"/>
      <c r="C151" s="6" t="n"/>
      <c r="D151" s="6" t="n"/>
      <c r="E151" s="6" t="n"/>
      <c r="F151" s="6" t="n"/>
      <c r="G151" s="6" t="n"/>
      <c r="H151" s="6" t="n"/>
    </row>
    <row r="152">
      <c r="A152" s="6" t="n"/>
      <c r="B152" s="6" t="n"/>
      <c r="C152" s="6" t="n"/>
      <c r="D152" s="6" t="n"/>
      <c r="E152" s="6" t="n"/>
      <c r="F152" s="6" t="n"/>
      <c r="G152" s="6" t="n"/>
      <c r="H152" s="6" t="n"/>
    </row>
    <row r="153">
      <c r="A153" s="6" t="n"/>
      <c r="B153" s="6" t="n"/>
      <c r="C153" s="6" t="n"/>
      <c r="D153" s="6" t="n"/>
      <c r="E153" s="6" t="n"/>
      <c r="F153" s="6" t="n"/>
      <c r="G153" s="6" t="n"/>
      <c r="H153" s="6" t="n"/>
    </row>
    <row r="154">
      <c r="A154" s="6" t="n"/>
      <c r="B154" s="6" t="n"/>
      <c r="C154" s="6" t="n"/>
      <c r="D154" s="6" t="n"/>
      <c r="E154" s="6" t="n"/>
      <c r="F154" s="6" t="n"/>
      <c r="G154" s="6" t="n"/>
      <c r="H154" s="6" t="n"/>
    </row>
    <row r="155">
      <c r="A155" s="6" t="n"/>
      <c r="B155" s="6" t="n"/>
      <c r="C155" s="6" t="n"/>
      <c r="D155" s="6" t="n"/>
      <c r="E155" s="6" t="n"/>
      <c r="F155" s="6" t="n"/>
      <c r="G155" s="6" t="n"/>
      <c r="H155" s="6" t="n"/>
    </row>
    <row r="156">
      <c r="A156" s="6" t="n"/>
      <c r="B156" s="6" t="n"/>
      <c r="C156" s="6" t="n"/>
      <c r="D156" s="6" t="n"/>
      <c r="E156" s="6" t="n"/>
      <c r="F156" s="6" t="n"/>
      <c r="G156" s="6" t="n"/>
      <c r="H156" s="6" t="n"/>
    </row>
    <row r="157">
      <c r="A157" s="6" t="n"/>
      <c r="B157" s="6" t="n"/>
      <c r="C157" s="6" t="n"/>
      <c r="D157" s="6" t="n"/>
      <c r="E157" s="6" t="n"/>
      <c r="F157" s="6" t="n"/>
      <c r="G157" s="6" t="n"/>
      <c r="H157" s="6" t="n"/>
    </row>
    <row r="158">
      <c r="A158" s="6" t="n"/>
      <c r="B158" s="6" t="n"/>
      <c r="C158" s="6" t="n"/>
      <c r="D158" s="6" t="n"/>
      <c r="E158" s="6" t="n"/>
      <c r="F158" s="6" t="n"/>
      <c r="G158" s="6" t="n"/>
      <c r="H158" s="6" t="n"/>
    </row>
    <row r="159">
      <c r="A159" s="6" t="n"/>
      <c r="B159" s="6" t="n"/>
      <c r="C159" s="6" t="n"/>
      <c r="D159" s="6" t="n"/>
      <c r="E159" s="6" t="n"/>
      <c r="F159" s="6" t="n"/>
      <c r="G159" s="6" t="n"/>
      <c r="H159" s="6" t="n"/>
    </row>
    <row r="160">
      <c r="A160" s="6" t="n"/>
      <c r="B160" s="6" t="n"/>
      <c r="C160" s="6" t="n"/>
      <c r="D160" s="6" t="n"/>
      <c r="E160" s="6" t="n"/>
      <c r="F160" s="6" t="n"/>
      <c r="G160" s="6" t="n"/>
      <c r="H160" s="6" t="n"/>
    </row>
    <row r="161">
      <c r="A161" s="6" t="n"/>
      <c r="B161" s="6" t="n"/>
      <c r="C161" s="6" t="n"/>
      <c r="D161" s="6" t="n"/>
      <c r="E161" s="6" t="n"/>
      <c r="F161" s="6" t="n"/>
      <c r="G161" s="6" t="n"/>
      <c r="H161" s="6" t="n"/>
    </row>
    <row r="162">
      <c r="A162" s="6" t="n"/>
      <c r="B162" s="6" t="n"/>
      <c r="C162" s="6" t="n"/>
      <c r="D162" s="6" t="n"/>
      <c r="E162" s="6" t="n"/>
      <c r="F162" s="6" t="n"/>
      <c r="G162" s="6" t="n"/>
      <c r="H162" s="6" t="n"/>
    </row>
    <row r="163">
      <c r="A163" s="6" t="n"/>
      <c r="B163" s="6" t="n"/>
      <c r="C163" s="6" t="n"/>
      <c r="D163" s="6" t="n"/>
      <c r="E163" s="6" t="n"/>
      <c r="F163" s="6" t="n"/>
      <c r="G163" s="6" t="n"/>
      <c r="H163" s="6" t="n"/>
    </row>
    <row r="164">
      <c r="A164" s="6" t="n"/>
      <c r="B164" s="6" t="n"/>
      <c r="C164" s="6" t="n"/>
      <c r="D164" s="6" t="n"/>
      <c r="E164" s="6" t="n"/>
      <c r="F164" s="6" t="n"/>
      <c r="G164" s="6" t="n"/>
      <c r="H164" s="6" t="n"/>
    </row>
    <row r="165">
      <c r="A165" s="6" t="n"/>
      <c r="B165" s="6" t="n"/>
      <c r="C165" s="6" t="n"/>
      <c r="D165" s="6" t="n"/>
      <c r="E165" s="6" t="n"/>
      <c r="F165" s="6" t="n"/>
      <c r="G165" s="6" t="n"/>
      <c r="H165" s="6" t="n"/>
    </row>
    <row r="166">
      <c r="A166" s="6" t="n"/>
      <c r="B166" s="6" t="n"/>
      <c r="C166" s="6" t="n"/>
      <c r="D166" s="6" t="n"/>
      <c r="E166" s="6" t="n"/>
      <c r="F166" s="6" t="n"/>
      <c r="G166" s="6" t="n"/>
      <c r="H166" s="6" t="n"/>
    </row>
    <row r="167">
      <c r="A167" s="6" t="n"/>
      <c r="B167" s="6" t="n"/>
      <c r="C167" s="6" t="n"/>
      <c r="D167" s="6" t="n"/>
      <c r="E167" s="6" t="n"/>
      <c r="F167" s="6" t="n"/>
      <c r="G167" s="6" t="n"/>
      <c r="H167" s="6" t="n"/>
    </row>
    <row r="168">
      <c r="A168" s="6" t="n"/>
      <c r="B168" s="6" t="n"/>
      <c r="C168" s="6" t="n"/>
      <c r="D168" s="6" t="n"/>
      <c r="E168" s="6" t="n"/>
      <c r="F168" s="6" t="n"/>
      <c r="G168" s="6" t="n"/>
      <c r="H168" s="6" t="n"/>
    </row>
    <row r="169">
      <c r="A169" s="6" t="n"/>
      <c r="B169" s="6" t="n"/>
      <c r="C169" s="6" t="n"/>
      <c r="D169" s="6" t="n"/>
      <c r="E169" s="6" t="n"/>
      <c r="F169" s="6" t="n"/>
      <c r="G169" s="6" t="n"/>
      <c r="H169" s="6" t="n"/>
    </row>
    <row r="170">
      <c r="A170" s="6" t="n"/>
      <c r="B170" s="6" t="n"/>
      <c r="C170" s="6" t="n"/>
      <c r="D170" s="6" t="n"/>
      <c r="E170" s="6" t="n"/>
      <c r="F170" s="6" t="n"/>
      <c r="G170" s="6" t="n"/>
      <c r="H170" s="6" t="n"/>
    </row>
    <row r="171">
      <c r="A171" s="6" t="n"/>
      <c r="B171" s="6" t="n"/>
      <c r="C171" s="6" t="n"/>
      <c r="D171" s="6" t="n"/>
      <c r="E171" s="6" t="n"/>
      <c r="F171" s="6" t="n"/>
      <c r="G171" s="6" t="n"/>
      <c r="H171" s="6" t="n"/>
    </row>
    <row r="172">
      <c r="A172" s="6" t="n"/>
      <c r="B172" s="6" t="n"/>
      <c r="C172" s="6" t="n"/>
      <c r="D172" s="6" t="n"/>
      <c r="E172" s="6" t="n"/>
      <c r="F172" s="6" t="n"/>
      <c r="G172" s="6" t="n"/>
      <c r="H172" s="6" t="n"/>
    </row>
    <row r="173">
      <c r="A173" s="6" t="n"/>
      <c r="B173" s="6" t="n"/>
      <c r="C173" s="6" t="n"/>
      <c r="D173" s="6" t="n"/>
      <c r="E173" s="6" t="n"/>
      <c r="F173" s="6" t="n"/>
      <c r="G173" s="6" t="n"/>
      <c r="H173" s="6" t="n"/>
    </row>
    <row r="174">
      <c r="A174" s="6" t="n"/>
      <c r="B174" s="6" t="n"/>
      <c r="C174" s="6" t="n"/>
      <c r="D174" s="6" t="n"/>
      <c r="E174" s="6" t="n"/>
      <c r="F174" s="6" t="n"/>
      <c r="G174" s="6" t="n"/>
      <c r="H174" s="6" t="n"/>
    </row>
    <row r="175">
      <c r="A175" s="6" t="n"/>
      <c r="B175" s="6" t="n"/>
      <c r="C175" s="6" t="n"/>
      <c r="D175" s="6" t="n"/>
      <c r="E175" s="6" t="n"/>
      <c r="F175" s="6" t="n"/>
      <c r="G175" s="6" t="n"/>
      <c r="H175" s="6" t="n"/>
    </row>
    <row r="176">
      <c r="A176" s="6" t="n"/>
      <c r="B176" s="6" t="n"/>
      <c r="C176" s="6" t="n"/>
      <c r="D176" s="6" t="n"/>
      <c r="E176" s="6" t="n"/>
      <c r="F176" s="6" t="n"/>
      <c r="G176" s="6" t="n"/>
      <c r="H176" s="6" t="n"/>
    </row>
    <row r="177">
      <c r="A177" s="6" t="n"/>
      <c r="B177" s="6" t="n"/>
      <c r="C177" s="6" t="n"/>
      <c r="D177" s="6" t="n"/>
      <c r="E177" s="6" t="n"/>
      <c r="F177" s="6" t="n"/>
      <c r="G177" s="6" t="n"/>
      <c r="H177" s="6" t="n"/>
    </row>
    <row r="178">
      <c r="A178" s="6" t="n"/>
      <c r="B178" s="6" t="n"/>
      <c r="C178" s="6" t="n"/>
      <c r="D178" s="6" t="n"/>
      <c r="E178" s="6" t="n"/>
      <c r="F178" s="6" t="n"/>
      <c r="G178" s="6" t="n"/>
      <c r="H178" s="6" t="n"/>
    </row>
    <row r="179">
      <c r="A179" s="6" t="n"/>
      <c r="B179" s="6" t="n"/>
      <c r="C179" s="6" t="n"/>
      <c r="D179" s="6" t="n"/>
      <c r="E179" s="6" t="n"/>
      <c r="F179" s="6" t="n"/>
      <c r="G179" s="6" t="n"/>
      <c r="H179" s="6" t="n"/>
    </row>
    <row r="180">
      <c r="A180" s="6" t="n"/>
      <c r="B180" s="6" t="n"/>
      <c r="C180" s="6" t="n"/>
      <c r="D180" s="6" t="n"/>
      <c r="E180" s="6" t="n"/>
      <c r="F180" s="6" t="n"/>
      <c r="G180" s="6" t="n"/>
      <c r="H180" s="6" t="n"/>
    </row>
    <row r="181">
      <c r="A181" s="6" t="n"/>
      <c r="B181" s="6" t="n"/>
      <c r="C181" s="6" t="n"/>
      <c r="D181" s="6" t="n"/>
      <c r="E181" s="6" t="n"/>
      <c r="F181" s="6" t="n"/>
      <c r="G181" s="6" t="n"/>
      <c r="H181" s="6" t="n"/>
    </row>
    <row r="182">
      <c r="A182" s="6" t="n"/>
      <c r="B182" s="6" t="n"/>
      <c r="C182" s="6" t="n"/>
      <c r="D182" s="6" t="n"/>
      <c r="E182" s="6" t="n"/>
      <c r="F182" s="6" t="n"/>
      <c r="G182" s="6" t="n"/>
      <c r="H182" s="6" t="n"/>
    </row>
    <row r="183">
      <c r="A183" s="6" t="n"/>
      <c r="B183" s="6" t="n"/>
      <c r="C183" s="6" t="n"/>
      <c r="D183" s="6" t="n"/>
      <c r="E183" s="6" t="n"/>
      <c r="F183" s="6" t="n"/>
      <c r="G183" s="6" t="n"/>
      <c r="H183" s="6" t="n"/>
    </row>
    <row r="184">
      <c r="A184" s="6" t="n"/>
      <c r="B184" s="6" t="n"/>
      <c r="C184" s="6" t="n"/>
      <c r="D184" s="6" t="n"/>
      <c r="E184" s="6" t="n"/>
      <c r="F184" s="6" t="n"/>
      <c r="G184" s="6" t="n"/>
      <c r="H184" s="6" t="n"/>
    </row>
    <row r="185">
      <c r="A185" s="6" t="n"/>
      <c r="B185" s="6" t="n"/>
      <c r="C185" s="6" t="n"/>
      <c r="D185" s="6" t="n"/>
      <c r="E185" s="6" t="n"/>
      <c r="F185" s="6" t="n"/>
      <c r="G185" s="6" t="n"/>
      <c r="H185" s="6" t="n"/>
    </row>
    <row r="186">
      <c r="A186" s="6" t="n"/>
      <c r="B186" s="6" t="n"/>
      <c r="C186" s="6" t="n"/>
      <c r="D186" s="6" t="n"/>
      <c r="E186" s="6" t="n"/>
      <c r="F186" s="6" t="n"/>
      <c r="G186" s="6" t="n"/>
      <c r="H186" s="6" t="n"/>
    </row>
    <row r="187">
      <c r="A187" s="6" t="n"/>
      <c r="B187" s="6" t="n"/>
      <c r="C187" s="6" t="n"/>
      <c r="D187" s="6" t="n"/>
      <c r="E187" s="6" t="n"/>
      <c r="F187" s="6" t="n"/>
      <c r="G187" s="6" t="n"/>
      <c r="H187" s="6" t="n"/>
    </row>
    <row r="188">
      <c r="A188" s="6" t="n"/>
      <c r="B188" s="6" t="n"/>
      <c r="C188" s="6" t="n"/>
      <c r="D188" s="6" t="n"/>
      <c r="E188" s="6" t="n"/>
      <c r="F188" s="6" t="n"/>
      <c r="G188" s="6" t="n"/>
      <c r="H188" s="6" t="n"/>
    </row>
    <row r="189">
      <c r="A189" s="6" t="n"/>
      <c r="B189" s="6" t="n"/>
      <c r="C189" s="6" t="n"/>
      <c r="D189" s="6" t="n"/>
      <c r="E189" s="6" t="n"/>
      <c r="F189" s="6" t="n"/>
      <c r="G189" s="6" t="n"/>
      <c r="H189" s="6" t="n"/>
    </row>
    <row r="190">
      <c r="A190" s="6" t="n"/>
      <c r="B190" s="6" t="n"/>
      <c r="C190" s="6" t="n"/>
      <c r="D190" s="6" t="n"/>
      <c r="E190" s="6" t="n"/>
      <c r="F190" s="6" t="n"/>
      <c r="G190" s="6" t="n"/>
      <c r="H190" s="6" t="n"/>
    </row>
    <row r="191">
      <c r="A191" s="6" t="n"/>
      <c r="B191" s="6" t="n"/>
      <c r="C191" s="6" t="n"/>
      <c r="D191" s="6" t="n"/>
      <c r="E191" s="6" t="n"/>
      <c r="F191" s="6" t="n"/>
      <c r="G191" s="6" t="n"/>
      <c r="H191" s="6" t="n"/>
    </row>
    <row r="192">
      <c r="A192" s="6" t="n"/>
      <c r="B192" s="6" t="n"/>
      <c r="C192" s="6" t="n"/>
      <c r="D192" s="6" t="n"/>
      <c r="E192" s="6" t="n"/>
      <c r="F192" s="6" t="n"/>
      <c r="G192" s="6" t="n"/>
      <c r="H192" s="6" t="n"/>
    </row>
    <row r="193">
      <c r="A193" s="6" t="n"/>
      <c r="B193" s="6" t="n"/>
      <c r="C193" s="6" t="n"/>
      <c r="D193" s="6" t="n"/>
      <c r="E193" s="6" t="n"/>
      <c r="F193" s="6" t="n"/>
      <c r="G193" s="6" t="n"/>
      <c r="H193" s="6" t="n"/>
    </row>
    <row r="194">
      <c r="A194" s="6" t="n"/>
      <c r="B194" s="6" t="n"/>
      <c r="C194" s="6" t="n"/>
      <c r="D194" s="6" t="n"/>
      <c r="E194" s="6" t="n"/>
      <c r="F194" s="6" t="n"/>
      <c r="G194" s="6" t="n"/>
      <c r="H194" s="6" t="n"/>
    </row>
    <row r="195">
      <c r="A195" s="6" t="n"/>
      <c r="B195" s="6" t="n"/>
      <c r="C195" s="6" t="n"/>
      <c r="D195" s="6" t="n"/>
      <c r="E195" s="6" t="n"/>
      <c r="F195" s="6" t="n"/>
      <c r="G195" s="6" t="n"/>
      <c r="H195" s="6" t="n"/>
    </row>
    <row r="196">
      <c r="A196" s="6" t="n"/>
      <c r="B196" s="6" t="n"/>
      <c r="C196" s="6" t="n"/>
      <c r="D196" s="6" t="n"/>
      <c r="E196" s="6" t="n"/>
      <c r="F196" s="6" t="n"/>
      <c r="G196" s="6" t="n"/>
      <c r="H196" s="6" t="n"/>
    </row>
    <row r="197">
      <c r="A197" s="6" t="n"/>
      <c r="B197" s="6" t="n"/>
      <c r="C197" s="6" t="n"/>
      <c r="D197" s="6" t="n"/>
      <c r="E197" s="6" t="n"/>
      <c r="F197" s="6" t="n"/>
      <c r="G197" s="6" t="n"/>
      <c r="H197" s="6" t="n"/>
    </row>
    <row r="198">
      <c r="A198" s="6" t="n"/>
      <c r="B198" s="6" t="n"/>
      <c r="C198" s="6" t="n"/>
      <c r="D198" s="6" t="n"/>
      <c r="E198" s="6" t="n"/>
      <c r="F198" s="6" t="n"/>
      <c r="G198" s="6" t="n"/>
      <c r="H198" s="6" t="n"/>
    </row>
    <row r="199">
      <c r="A199" s="6" t="n"/>
      <c r="B199" s="6" t="n"/>
      <c r="C199" s="6" t="n"/>
      <c r="D199" s="6" t="n"/>
      <c r="E199" s="6" t="n"/>
      <c r="F199" s="6" t="n"/>
      <c r="G199" s="6" t="n"/>
      <c r="H199" s="6" t="n"/>
    </row>
    <row r="200">
      <c r="A200" s="6" t="n"/>
      <c r="B200" s="6" t="n"/>
      <c r="C200" s="6" t="n"/>
      <c r="D200" s="6" t="n"/>
      <c r="E200" s="6" t="n"/>
      <c r="F200" s="6" t="n"/>
      <c r="G200" s="6" t="n"/>
      <c r="H200" s="6" t="n"/>
    </row>
  </sheetData>
  <dataValidations count="2">
    <dataValidation sqref="B2:B200" showDropDown="0" showInputMessage="0" showErrorMessage="0" allowBlank="1" type="list">
      <formula1>"书,视频,题库,文档"</formula1>
    </dataValidation>
    <dataValidation sqref="F2:F200" showDropDown="0" showInputMessage="0" showErrorMessage="0" allowBlank="1" type="list">
      <formula1>"未开始,进行中,已完成"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98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来源行</t>
        </is>
      </c>
      <c r="B1" s="5" t="inlineStr">
        <is>
          <t>时段</t>
        </is>
      </c>
      <c r="C1" s="5" t="inlineStr">
        <is>
          <t>模块</t>
        </is>
      </c>
      <c r="D1" s="5" t="inlineStr">
        <is>
          <t>计划时长</t>
        </is>
      </c>
    </row>
    <row r="2">
      <c r="A2" s="6" t="n">
        <v>2</v>
      </c>
      <c r="B2" s="6" t="inlineStr">
        <is>
          <t>上午</t>
        </is>
      </c>
      <c r="C2" s="6">
        <f>IFERROR(TEXTBEFORE('周计划明细'!D2,":"),"")</f>
        <v/>
      </c>
      <c r="D2" s="6">
        <f>IFERROR(VALUE(TEXTBEFORE(TEXTAFTER('周计划明细'!D2,"|"),"h")),0)</f>
        <v/>
      </c>
    </row>
    <row r="3">
      <c r="A3" s="6" t="n">
        <v>2</v>
      </c>
      <c r="B3" s="6" t="inlineStr">
        <is>
          <t>下午</t>
        </is>
      </c>
      <c r="C3" s="6">
        <f>IFERROR(TEXTBEFORE('周计划明细'!E2,":"),"")</f>
        <v/>
      </c>
      <c r="D3" s="6">
        <f>IFERROR(VALUE(TEXTBEFORE(TEXTAFTER('周计划明细'!E2,"|"),"h")),0)</f>
        <v/>
      </c>
    </row>
    <row r="4">
      <c r="A4" s="6" t="n">
        <v>2</v>
      </c>
      <c r="B4" s="6" t="inlineStr">
        <is>
          <t>晚上</t>
        </is>
      </c>
      <c r="C4" s="6">
        <f>IFERROR(TEXTBEFORE('周计划明细'!F2,":"),"")</f>
        <v/>
      </c>
      <c r="D4" s="6">
        <f>IFERROR(VALUE(TEXTBEFORE(TEXTAFTER('周计划明细'!F2,"|"),"h")),0)</f>
        <v/>
      </c>
    </row>
    <row r="5">
      <c r="A5" s="6" t="n">
        <v>3</v>
      </c>
      <c r="B5" s="6" t="inlineStr">
        <is>
          <t>上午</t>
        </is>
      </c>
      <c r="C5" s="6">
        <f>IFERROR(TEXTBEFORE('周计划明细'!D3,":"),"")</f>
        <v/>
      </c>
      <c r="D5" s="6">
        <f>IFERROR(VALUE(TEXTBEFORE(TEXTAFTER('周计划明细'!D3,"|"),"h")),0)</f>
        <v/>
      </c>
    </row>
    <row r="6">
      <c r="A6" s="6" t="n">
        <v>3</v>
      </c>
      <c r="B6" s="6" t="inlineStr">
        <is>
          <t>下午</t>
        </is>
      </c>
      <c r="C6" s="6">
        <f>IFERROR(TEXTBEFORE('周计划明细'!E3,":"),"")</f>
        <v/>
      </c>
      <c r="D6" s="6">
        <f>IFERROR(VALUE(TEXTBEFORE(TEXTAFTER('周计划明细'!E3,"|"),"h")),0)</f>
        <v/>
      </c>
    </row>
    <row r="7">
      <c r="A7" s="6" t="n">
        <v>3</v>
      </c>
      <c r="B7" s="6" t="inlineStr">
        <is>
          <t>晚上</t>
        </is>
      </c>
      <c r="C7" s="6">
        <f>IFERROR(TEXTBEFORE('周计划明细'!F3,":"),"")</f>
        <v/>
      </c>
      <c r="D7" s="6">
        <f>IFERROR(VALUE(TEXTBEFORE(TEXTAFTER('周计划明细'!F3,"|"),"h")),0)</f>
        <v/>
      </c>
    </row>
    <row r="8">
      <c r="A8" s="6" t="n">
        <v>4</v>
      </c>
      <c r="B8" s="6" t="inlineStr">
        <is>
          <t>上午</t>
        </is>
      </c>
      <c r="C8" s="6">
        <f>IFERROR(TEXTBEFORE('周计划明细'!D4,":"),"")</f>
        <v/>
      </c>
      <c r="D8" s="6">
        <f>IFERROR(VALUE(TEXTBEFORE(TEXTAFTER('周计划明细'!D4,"|"),"h")),0)</f>
        <v/>
      </c>
    </row>
    <row r="9">
      <c r="A9" s="6" t="n">
        <v>4</v>
      </c>
      <c r="B9" s="6" t="inlineStr">
        <is>
          <t>下午</t>
        </is>
      </c>
      <c r="C9" s="6">
        <f>IFERROR(TEXTBEFORE('周计划明细'!E4,":"),"")</f>
        <v/>
      </c>
      <c r="D9" s="6">
        <f>IFERROR(VALUE(TEXTBEFORE(TEXTAFTER('周计划明细'!E4,"|"),"h")),0)</f>
        <v/>
      </c>
    </row>
    <row r="10">
      <c r="A10" s="6" t="n">
        <v>4</v>
      </c>
      <c r="B10" s="6" t="inlineStr">
        <is>
          <t>晚上</t>
        </is>
      </c>
      <c r="C10" s="6">
        <f>IFERROR(TEXTBEFORE('周计划明细'!F4,":"),"")</f>
        <v/>
      </c>
      <c r="D10" s="6">
        <f>IFERROR(VALUE(TEXTBEFORE(TEXTAFTER('周计划明细'!F4,"|"),"h")),0)</f>
        <v/>
      </c>
    </row>
    <row r="11">
      <c r="A11" s="6" t="n">
        <v>5</v>
      </c>
      <c r="B11" s="6" t="inlineStr">
        <is>
          <t>上午</t>
        </is>
      </c>
      <c r="C11" s="6">
        <f>IFERROR(TEXTBEFORE('周计划明细'!D5,":"),"")</f>
        <v/>
      </c>
      <c r="D11" s="6">
        <f>IFERROR(VALUE(TEXTBEFORE(TEXTAFTER('周计划明细'!D5,"|"),"h")),0)</f>
        <v/>
      </c>
    </row>
    <row r="12">
      <c r="A12" s="6" t="n">
        <v>5</v>
      </c>
      <c r="B12" s="6" t="inlineStr">
        <is>
          <t>下午</t>
        </is>
      </c>
      <c r="C12" s="6">
        <f>IFERROR(TEXTBEFORE('周计划明细'!E5,":"),"")</f>
        <v/>
      </c>
      <c r="D12" s="6">
        <f>IFERROR(VALUE(TEXTBEFORE(TEXTAFTER('周计划明细'!E5,"|"),"h")),0)</f>
        <v/>
      </c>
    </row>
    <row r="13">
      <c r="A13" s="6" t="n">
        <v>5</v>
      </c>
      <c r="B13" s="6" t="inlineStr">
        <is>
          <t>晚上</t>
        </is>
      </c>
      <c r="C13" s="6">
        <f>IFERROR(TEXTBEFORE('周计划明细'!F5,":"),"")</f>
        <v/>
      </c>
      <c r="D13" s="6">
        <f>IFERROR(VALUE(TEXTBEFORE(TEXTAFTER('周计划明细'!F5,"|"),"h")),0)</f>
        <v/>
      </c>
    </row>
    <row r="14">
      <c r="A14" s="6" t="n">
        <v>6</v>
      </c>
      <c r="B14" s="6" t="inlineStr">
        <is>
          <t>上午</t>
        </is>
      </c>
      <c r="C14" s="6">
        <f>IFERROR(TEXTBEFORE('周计划明细'!D6,":"),"")</f>
        <v/>
      </c>
      <c r="D14" s="6">
        <f>IFERROR(VALUE(TEXTBEFORE(TEXTAFTER('周计划明细'!D6,"|"),"h")),0)</f>
        <v/>
      </c>
    </row>
    <row r="15">
      <c r="A15" s="6" t="n">
        <v>6</v>
      </c>
      <c r="B15" s="6" t="inlineStr">
        <is>
          <t>下午</t>
        </is>
      </c>
      <c r="C15" s="6">
        <f>IFERROR(TEXTBEFORE('周计划明细'!E6,":"),"")</f>
        <v/>
      </c>
      <c r="D15" s="6">
        <f>IFERROR(VALUE(TEXTBEFORE(TEXTAFTER('周计划明细'!E6,"|"),"h")),0)</f>
        <v/>
      </c>
    </row>
    <row r="16">
      <c r="A16" s="6" t="n">
        <v>6</v>
      </c>
      <c r="B16" s="6" t="inlineStr">
        <is>
          <t>晚上</t>
        </is>
      </c>
      <c r="C16" s="6">
        <f>IFERROR(TEXTBEFORE('周计划明细'!F6,":"),"")</f>
        <v/>
      </c>
      <c r="D16" s="6">
        <f>IFERROR(VALUE(TEXTBEFORE(TEXTAFTER('周计划明细'!F6,"|"),"h")),0)</f>
        <v/>
      </c>
    </row>
    <row r="17">
      <c r="A17" s="6" t="n">
        <v>7</v>
      </c>
      <c r="B17" s="6" t="inlineStr">
        <is>
          <t>上午</t>
        </is>
      </c>
      <c r="C17" s="6">
        <f>IFERROR(TEXTBEFORE('周计划明细'!D7,":"),"")</f>
        <v/>
      </c>
      <c r="D17" s="6">
        <f>IFERROR(VALUE(TEXTBEFORE(TEXTAFTER('周计划明细'!D7,"|"),"h")),0)</f>
        <v/>
      </c>
    </row>
    <row r="18">
      <c r="A18" s="6" t="n">
        <v>7</v>
      </c>
      <c r="B18" s="6" t="inlineStr">
        <is>
          <t>下午</t>
        </is>
      </c>
      <c r="C18" s="6">
        <f>IFERROR(TEXTBEFORE('周计划明细'!E7,":"),"")</f>
        <v/>
      </c>
      <c r="D18" s="6">
        <f>IFERROR(VALUE(TEXTBEFORE(TEXTAFTER('周计划明细'!E7,"|"),"h")),0)</f>
        <v/>
      </c>
    </row>
    <row r="19">
      <c r="A19" s="6" t="n">
        <v>7</v>
      </c>
      <c r="B19" s="6" t="inlineStr">
        <is>
          <t>晚上</t>
        </is>
      </c>
      <c r="C19" s="6">
        <f>IFERROR(TEXTBEFORE('周计划明细'!F7,":"),"")</f>
        <v/>
      </c>
      <c r="D19" s="6">
        <f>IFERROR(VALUE(TEXTBEFORE(TEXTAFTER('周计划明细'!F7,"|"),"h")),0)</f>
        <v/>
      </c>
    </row>
    <row r="20">
      <c r="A20" s="6" t="n">
        <v>8</v>
      </c>
      <c r="B20" s="6" t="inlineStr">
        <is>
          <t>上午</t>
        </is>
      </c>
      <c r="C20" s="6">
        <f>IFERROR(TEXTBEFORE('周计划明细'!D8,":"),"")</f>
        <v/>
      </c>
      <c r="D20" s="6">
        <f>IFERROR(VALUE(TEXTBEFORE(TEXTAFTER('周计划明细'!D8,"|"),"h")),0)</f>
        <v/>
      </c>
    </row>
    <row r="21">
      <c r="A21" s="6" t="n">
        <v>8</v>
      </c>
      <c r="B21" s="6" t="inlineStr">
        <is>
          <t>下午</t>
        </is>
      </c>
      <c r="C21" s="6">
        <f>IFERROR(TEXTBEFORE('周计划明细'!E8,":"),"")</f>
        <v/>
      </c>
      <c r="D21" s="6">
        <f>IFERROR(VALUE(TEXTBEFORE(TEXTAFTER('周计划明细'!E8,"|"),"h")),0)</f>
        <v/>
      </c>
    </row>
    <row r="22">
      <c r="A22" s="6" t="n">
        <v>8</v>
      </c>
      <c r="B22" s="6" t="inlineStr">
        <is>
          <t>晚上</t>
        </is>
      </c>
      <c r="C22" s="6">
        <f>IFERROR(TEXTBEFORE('周计划明细'!F8,":"),"")</f>
        <v/>
      </c>
      <c r="D22" s="6">
        <f>IFERROR(VALUE(TEXTBEFORE(TEXTAFTER('周计划明细'!F8,"|"),"h")),0)</f>
        <v/>
      </c>
    </row>
    <row r="23">
      <c r="A23" s="6" t="n">
        <v>9</v>
      </c>
      <c r="B23" s="6" t="inlineStr">
        <is>
          <t>上午</t>
        </is>
      </c>
      <c r="C23" s="6">
        <f>IFERROR(TEXTBEFORE('周计划明细'!D9,":"),"")</f>
        <v/>
      </c>
      <c r="D23" s="6">
        <f>IFERROR(VALUE(TEXTBEFORE(TEXTAFTER('周计划明细'!D9,"|"),"h")),0)</f>
        <v/>
      </c>
    </row>
    <row r="24">
      <c r="A24" s="6" t="n">
        <v>9</v>
      </c>
      <c r="B24" s="6" t="inlineStr">
        <is>
          <t>下午</t>
        </is>
      </c>
      <c r="C24" s="6">
        <f>IFERROR(TEXTBEFORE('周计划明细'!E9,":"),"")</f>
        <v/>
      </c>
      <c r="D24" s="6">
        <f>IFERROR(VALUE(TEXTBEFORE(TEXTAFTER('周计划明细'!E9,"|"),"h")),0)</f>
        <v/>
      </c>
    </row>
    <row r="25">
      <c r="A25" s="6" t="n">
        <v>9</v>
      </c>
      <c r="B25" s="6" t="inlineStr">
        <is>
          <t>晚上</t>
        </is>
      </c>
      <c r="C25" s="6">
        <f>IFERROR(TEXTBEFORE('周计划明细'!F9,":"),"")</f>
        <v/>
      </c>
      <c r="D25" s="6">
        <f>IFERROR(VALUE(TEXTBEFORE(TEXTAFTER('周计划明细'!F9,"|"),"h")),0)</f>
        <v/>
      </c>
    </row>
    <row r="26">
      <c r="A26" s="6" t="n">
        <v>10</v>
      </c>
      <c r="B26" s="6" t="inlineStr">
        <is>
          <t>上午</t>
        </is>
      </c>
      <c r="C26" s="6">
        <f>IFERROR(TEXTBEFORE('周计划明细'!D10,":"),"")</f>
        <v/>
      </c>
      <c r="D26" s="6">
        <f>IFERROR(VALUE(TEXTBEFORE(TEXTAFTER('周计划明细'!D10,"|"),"h")),0)</f>
        <v/>
      </c>
    </row>
    <row r="27">
      <c r="A27" s="6" t="n">
        <v>10</v>
      </c>
      <c r="B27" s="6" t="inlineStr">
        <is>
          <t>下午</t>
        </is>
      </c>
      <c r="C27" s="6">
        <f>IFERROR(TEXTBEFORE('周计划明细'!E10,":"),"")</f>
        <v/>
      </c>
      <c r="D27" s="6">
        <f>IFERROR(VALUE(TEXTBEFORE(TEXTAFTER('周计划明细'!E10,"|"),"h")),0)</f>
        <v/>
      </c>
    </row>
    <row r="28">
      <c r="A28" s="6" t="n">
        <v>10</v>
      </c>
      <c r="B28" s="6" t="inlineStr">
        <is>
          <t>晚上</t>
        </is>
      </c>
      <c r="C28" s="6">
        <f>IFERROR(TEXTBEFORE('周计划明细'!F10,":"),"")</f>
        <v/>
      </c>
      <c r="D28" s="6">
        <f>IFERROR(VALUE(TEXTBEFORE(TEXTAFTER('周计划明细'!F10,"|"),"h")),0)</f>
        <v/>
      </c>
    </row>
    <row r="29">
      <c r="A29" s="6" t="n">
        <v>11</v>
      </c>
      <c r="B29" s="6" t="inlineStr">
        <is>
          <t>上午</t>
        </is>
      </c>
      <c r="C29" s="6">
        <f>IFERROR(TEXTBEFORE('周计划明细'!D11,":"),"")</f>
        <v/>
      </c>
      <c r="D29" s="6">
        <f>IFERROR(VALUE(TEXTBEFORE(TEXTAFTER('周计划明细'!D11,"|"),"h")),0)</f>
        <v/>
      </c>
    </row>
    <row r="30">
      <c r="A30" s="6" t="n">
        <v>11</v>
      </c>
      <c r="B30" s="6" t="inlineStr">
        <is>
          <t>下午</t>
        </is>
      </c>
      <c r="C30" s="6">
        <f>IFERROR(TEXTBEFORE('周计划明细'!E11,":"),"")</f>
        <v/>
      </c>
      <c r="D30" s="6">
        <f>IFERROR(VALUE(TEXTBEFORE(TEXTAFTER('周计划明细'!E11,"|"),"h")),0)</f>
        <v/>
      </c>
    </row>
    <row r="31">
      <c r="A31" s="6" t="n">
        <v>11</v>
      </c>
      <c r="B31" s="6" t="inlineStr">
        <is>
          <t>晚上</t>
        </is>
      </c>
      <c r="C31" s="6">
        <f>IFERROR(TEXTBEFORE('周计划明细'!F11,":"),"")</f>
        <v/>
      </c>
      <c r="D31" s="6">
        <f>IFERROR(VALUE(TEXTBEFORE(TEXTAFTER('周计划明细'!F11,"|"),"h")),0)</f>
        <v/>
      </c>
    </row>
    <row r="32">
      <c r="A32" s="6" t="n">
        <v>12</v>
      </c>
      <c r="B32" s="6" t="inlineStr">
        <is>
          <t>上午</t>
        </is>
      </c>
      <c r="C32" s="6">
        <f>IFERROR(TEXTBEFORE('周计划明细'!D12,":"),"")</f>
        <v/>
      </c>
      <c r="D32" s="6">
        <f>IFERROR(VALUE(TEXTBEFORE(TEXTAFTER('周计划明细'!D12,"|"),"h")),0)</f>
        <v/>
      </c>
    </row>
    <row r="33">
      <c r="A33" s="6" t="n">
        <v>12</v>
      </c>
      <c r="B33" s="6" t="inlineStr">
        <is>
          <t>下午</t>
        </is>
      </c>
      <c r="C33" s="6">
        <f>IFERROR(TEXTBEFORE('周计划明细'!E12,":"),"")</f>
        <v/>
      </c>
      <c r="D33" s="6">
        <f>IFERROR(VALUE(TEXTBEFORE(TEXTAFTER('周计划明细'!E12,"|"),"h")),0)</f>
        <v/>
      </c>
    </row>
    <row r="34">
      <c r="A34" s="6" t="n">
        <v>12</v>
      </c>
      <c r="B34" s="6" t="inlineStr">
        <is>
          <t>晚上</t>
        </is>
      </c>
      <c r="C34" s="6">
        <f>IFERROR(TEXTBEFORE('周计划明细'!F12,":"),"")</f>
        <v/>
      </c>
      <c r="D34" s="6">
        <f>IFERROR(VALUE(TEXTBEFORE(TEXTAFTER('周计划明细'!F12,"|"),"h")),0)</f>
        <v/>
      </c>
    </row>
    <row r="35">
      <c r="A35" s="6" t="n">
        <v>13</v>
      </c>
      <c r="B35" s="6" t="inlineStr">
        <is>
          <t>上午</t>
        </is>
      </c>
      <c r="C35" s="6">
        <f>IFERROR(TEXTBEFORE('周计划明细'!D13,":"),"")</f>
        <v/>
      </c>
      <c r="D35" s="6">
        <f>IFERROR(VALUE(TEXTBEFORE(TEXTAFTER('周计划明细'!D13,"|"),"h")),0)</f>
        <v/>
      </c>
    </row>
    <row r="36">
      <c r="A36" s="6" t="n">
        <v>13</v>
      </c>
      <c r="B36" s="6" t="inlineStr">
        <is>
          <t>下午</t>
        </is>
      </c>
      <c r="C36" s="6">
        <f>IFERROR(TEXTBEFORE('周计划明细'!E13,":"),"")</f>
        <v/>
      </c>
      <c r="D36" s="6">
        <f>IFERROR(VALUE(TEXTBEFORE(TEXTAFTER('周计划明细'!E13,"|"),"h")),0)</f>
        <v/>
      </c>
    </row>
    <row r="37">
      <c r="A37" s="6" t="n">
        <v>13</v>
      </c>
      <c r="B37" s="6" t="inlineStr">
        <is>
          <t>晚上</t>
        </is>
      </c>
      <c r="C37" s="6">
        <f>IFERROR(TEXTBEFORE('周计划明细'!F13,":"),"")</f>
        <v/>
      </c>
      <c r="D37" s="6">
        <f>IFERROR(VALUE(TEXTBEFORE(TEXTAFTER('周计划明细'!F13,"|"),"h")),0)</f>
        <v/>
      </c>
    </row>
    <row r="38">
      <c r="A38" s="6" t="n">
        <v>14</v>
      </c>
      <c r="B38" s="6" t="inlineStr">
        <is>
          <t>上午</t>
        </is>
      </c>
      <c r="C38" s="6">
        <f>IFERROR(TEXTBEFORE('周计划明细'!D14,":"),"")</f>
        <v/>
      </c>
      <c r="D38" s="6">
        <f>IFERROR(VALUE(TEXTBEFORE(TEXTAFTER('周计划明细'!D14,"|"),"h")),0)</f>
        <v/>
      </c>
    </row>
    <row r="39">
      <c r="A39" s="6" t="n">
        <v>14</v>
      </c>
      <c r="B39" s="6" t="inlineStr">
        <is>
          <t>下午</t>
        </is>
      </c>
      <c r="C39" s="6">
        <f>IFERROR(TEXTBEFORE('周计划明细'!E14,":"),"")</f>
        <v/>
      </c>
      <c r="D39" s="6">
        <f>IFERROR(VALUE(TEXTBEFORE(TEXTAFTER('周计划明细'!E14,"|"),"h")),0)</f>
        <v/>
      </c>
    </row>
    <row r="40">
      <c r="A40" s="6" t="n">
        <v>14</v>
      </c>
      <c r="B40" s="6" t="inlineStr">
        <is>
          <t>晚上</t>
        </is>
      </c>
      <c r="C40" s="6">
        <f>IFERROR(TEXTBEFORE('周计划明细'!F14,":"),"")</f>
        <v/>
      </c>
      <c r="D40" s="6">
        <f>IFERROR(VALUE(TEXTBEFORE(TEXTAFTER('周计划明细'!F14,"|"),"h")),0)</f>
        <v/>
      </c>
    </row>
    <row r="41">
      <c r="A41" s="6" t="n">
        <v>15</v>
      </c>
      <c r="B41" s="6" t="inlineStr">
        <is>
          <t>上午</t>
        </is>
      </c>
      <c r="C41" s="6">
        <f>IFERROR(TEXTBEFORE('周计划明细'!D15,":"),"")</f>
        <v/>
      </c>
      <c r="D41" s="6">
        <f>IFERROR(VALUE(TEXTBEFORE(TEXTAFTER('周计划明细'!D15,"|"),"h")),0)</f>
        <v/>
      </c>
    </row>
    <row r="42">
      <c r="A42" s="6" t="n">
        <v>15</v>
      </c>
      <c r="B42" s="6" t="inlineStr">
        <is>
          <t>下午</t>
        </is>
      </c>
      <c r="C42" s="6">
        <f>IFERROR(TEXTBEFORE('周计划明细'!E15,":"),"")</f>
        <v/>
      </c>
      <c r="D42" s="6">
        <f>IFERROR(VALUE(TEXTBEFORE(TEXTAFTER('周计划明细'!E15,"|"),"h")),0)</f>
        <v/>
      </c>
    </row>
    <row r="43">
      <c r="A43" s="6" t="n">
        <v>15</v>
      </c>
      <c r="B43" s="6" t="inlineStr">
        <is>
          <t>晚上</t>
        </is>
      </c>
      <c r="C43" s="6">
        <f>IFERROR(TEXTBEFORE('周计划明细'!F15,":"),"")</f>
        <v/>
      </c>
      <c r="D43" s="6">
        <f>IFERROR(VALUE(TEXTBEFORE(TEXTAFTER('周计划明细'!F15,"|"),"h")),0)</f>
        <v/>
      </c>
    </row>
    <row r="44">
      <c r="A44" s="6" t="n">
        <v>16</v>
      </c>
      <c r="B44" s="6" t="inlineStr">
        <is>
          <t>上午</t>
        </is>
      </c>
      <c r="C44" s="6">
        <f>IFERROR(TEXTBEFORE('周计划明细'!D16,":"),"")</f>
        <v/>
      </c>
      <c r="D44" s="6">
        <f>IFERROR(VALUE(TEXTBEFORE(TEXTAFTER('周计划明细'!D16,"|"),"h")),0)</f>
        <v/>
      </c>
    </row>
    <row r="45">
      <c r="A45" s="6" t="n">
        <v>16</v>
      </c>
      <c r="B45" s="6" t="inlineStr">
        <is>
          <t>下午</t>
        </is>
      </c>
      <c r="C45" s="6">
        <f>IFERROR(TEXTBEFORE('周计划明细'!E16,":"),"")</f>
        <v/>
      </c>
      <c r="D45" s="6">
        <f>IFERROR(VALUE(TEXTBEFORE(TEXTAFTER('周计划明细'!E16,"|"),"h")),0)</f>
        <v/>
      </c>
    </row>
    <row r="46">
      <c r="A46" s="6" t="n">
        <v>16</v>
      </c>
      <c r="B46" s="6" t="inlineStr">
        <is>
          <t>晚上</t>
        </is>
      </c>
      <c r="C46" s="6">
        <f>IFERROR(TEXTBEFORE('周计划明细'!F16,":"),"")</f>
        <v/>
      </c>
      <c r="D46" s="6">
        <f>IFERROR(VALUE(TEXTBEFORE(TEXTAFTER('周计划明细'!F16,"|"),"h")),0)</f>
        <v/>
      </c>
    </row>
    <row r="47">
      <c r="A47" s="6" t="n">
        <v>17</v>
      </c>
      <c r="B47" s="6" t="inlineStr">
        <is>
          <t>上午</t>
        </is>
      </c>
      <c r="C47" s="6">
        <f>IFERROR(TEXTBEFORE('周计划明细'!D17,":"),"")</f>
        <v/>
      </c>
      <c r="D47" s="6">
        <f>IFERROR(VALUE(TEXTBEFORE(TEXTAFTER('周计划明细'!D17,"|"),"h")),0)</f>
        <v/>
      </c>
    </row>
    <row r="48">
      <c r="A48" s="6" t="n">
        <v>17</v>
      </c>
      <c r="B48" s="6" t="inlineStr">
        <is>
          <t>下午</t>
        </is>
      </c>
      <c r="C48" s="6">
        <f>IFERROR(TEXTBEFORE('周计划明细'!E17,":"),"")</f>
        <v/>
      </c>
      <c r="D48" s="6">
        <f>IFERROR(VALUE(TEXTBEFORE(TEXTAFTER('周计划明细'!E17,"|"),"h")),0)</f>
        <v/>
      </c>
    </row>
    <row r="49">
      <c r="A49" s="6" t="n">
        <v>17</v>
      </c>
      <c r="B49" s="6" t="inlineStr">
        <is>
          <t>晚上</t>
        </is>
      </c>
      <c r="C49" s="6">
        <f>IFERROR(TEXTBEFORE('周计划明细'!F17,":"),"")</f>
        <v/>
      </c>
      <c r="D49" s="6">
        <f>IFERROR(VALUE(TEXTBEFORE(TEXTAFTER('周计划明细'!F17,"|"),"h")),0)</f>
        <v/>
      </c>
    </row>
    <row r="50">
      <c r="A50" s="6" t="n">
        <v>18</v>
      </c>
      <c r="B50" s="6" t="inlineStr">
        <is>
          <t>上午</t>
        </is>
      </c>
      <c r="C50" s="6">
        <f>IFERROR(TEXTBEFORE('周计划明细'!D18,":"),"")</f>
        <v/>
      </c>
      <c r="D50" s="6">
        <f>IFERROR(VALUE(TEXTBEFORE(TEXTAFTER('周计划明细'!D18,"|"),"h")),0)</f>
        <v/>
      </c>
    </row>
    <row r="51">
      <c r="A51" s="6" t="n">
        <v>18</v>
      </c>
      <c r="B51" s="6" t="inlineStr">
        <is>
          <t>下午</t>
        </is>
      </c>
      <c r="C51" s="6">
        <f>IFERROR(TEXTBEFORE('周计划明细'!E18,":"),"")</f>
        <v/>
      </c>
      <c r="D51" s="6">
        <f>IFERROR(VALUE(TEXTBEFORE(TEXTAFTER('周计划明细'!E18,"|"),"h")),0)</f>
        <v/>
      </c>
    </row>
    <row r="52">
      <c r="A52" s="6" t="n">
        <v>18</v>
      </c>
      <c r="B52" s="6" t="inlineStr">
        <is>
          <t>晚上</t>
        </is>
      </c>
      <c r="C52" s="6">
        <f>IFERROR(TEXTBEFORE('周计划明细'!F18,":"),"")</f>
        <v/>
      </c>
      <c r="D52" s="6">
        <f>IFERROR(VALUE(TEXTBEFORE(TEXTAFTER('周计划明细'!F18,"|"),"h")),0)</f>
        <v/>
      </c>
    </row>
    <row r="53">
      <c r="A53" s="6" t="n">
        <v>19</v>
      </c>
      <c r="B53" s="6" t="inlineStr">
        <is>
          <t>上午</t>
        </is>
      </c>
      <c r="C53" s="6">
        <f>IFERROR(TEXTBEFORE('周计划明细'!D19,":"),"")</f>
        <v/>
      </c>
      <c r="D53" s="6">
        <f>IFERROR(VALUE(TEXTBEFORE(TEXTAFTER('周计划明细'!D19,"|"),"h")),0)</f>
        <v/>
      </c>
    </row>
    <row r="54">
      <c r="A54" s="6" t="n">
        <v>19</v>
      </c>
      <c r="B54" s="6" t="inlineStr">
        <is>
          <t>下午</t>
        </is>
      </c>
      <c r="C54" s="6">
        <f>IFERROR(TEXTBEFORE('周计划明细'!E19,":"),"")</f>
        <v/>
      </c>
      <c r="D54" s="6">
        <f>IFERROR(VALUE(TEXTBEFORE(TEXTAFTER('周计划明细'!E19,"|"),"h")),0)</f>
        <v/>
      </c>
    </row>
    <row r="55">
      <c r="A55" s="6" t="n">
        <v>19</v>
      </c>
      <c r="B55" s="6" t="inlineStr">
        <is>
          <t>晚上</t>
        </is>
      </c>
      <c r="C55" s="6">
        <f>IFERROR(TEXTBEFORE('周计划明细'!F19,":"),"")</f>
        <v/>
      </c>
      <c r="D55" s="6">
        <f>IFERROR(VALUE(TEXTBEFORE(TEXTAFTER('周计划明细'!F19,"|"),"h")),0)</f>
        <v/>
      </c>
    </row>
    <row r="56">
      <c r="A56" s="6" t="n">
        <v>20</v>
      </c>
      <c r="B56" s="6" t="inlineStr">
        <is>
          <t>上午</t>
        </is>
      </c>
      <c r="C56" s="6">
        <f>IFERROR(TEXTBEFORE('周计划明细'!D20,":"),"")</f>
        <v/>
      </c>
      <c r="D56" s="6">
        <f>IFERROR(VALUE(TEXTBEFORE(TEXTAFTER('周计划明细'!D20,"|"),"h")),0)</f>
        <v/>
      </c>
    </row>
    <row r="57">
      <c r="A57" s="6" t="n">
        <v>20</v>
      </c>
      <c r="B57" s="6" t="inlineStr">
        <is>
          <t>下午</t>
        </is>
      </c>
      <c r="C57" s="6">
        <f>IFERROR(TEXTBEFORE('周计划明细'!E20,":"),"")</f>
        <v/>
      </c>
      <c r="D57" s="6">
        <f>IFERROR(VALUE(TEXTBEFORE(TEXTAFTER('周计划明细'!E20,"|"),"h")),0)</f>
        <v/>
      </c>
    </row>
    <row r="58">
      <c r="A58" s="6" t="n">
        <v>20</v>
      </c>
      <c r="B58" s="6" t="inlineStr">
        <is>
          <t>晚上</t>
        </is>
      </c>
      <c r="C58" s="6">
        <f>IFERROR(TEXTBEFORE('周计划明细'!F20,":"),"")</f>
        <v/>
      </c>
      <c r="D58" s="6">
        <f>IFERROR(VALUE(TEXTBEFORE(TEXTAFTER('周计划明细'!F20,"|"),"h")),0)</f>
        <v/>
      </c>
    </row>
    <row r="59">
      <c r="A59" s="6" t="n">
        <v>21</v>
      </c>
      <c r="B59" s="6" t="inlineStr">
        <is>
          <t>上午</t>
        </is>
      </c>
      <c r="C59" s="6">
        <f>IFERROR(TEXTBEFORE('周计划明细'!D21,":"),"")</f>
        <v/>
      </c>
      <c r="D59" s="6">
        <f>IFERROR(VALUE(TEXTBEFORE(TEXTAFTER('周计划明细'!D21,"|"),"h")),0)</f>
        <v/>
      </c>
    </row>
    <row r="60">
      <c r="A60" s="6" t="n">
        <v>21</v>
      </c>
      <c r="B60" s="6" t="inlineStr">
        <is>
          <t>下午</t>
        </is>
      </c>
      <c r="C60" s="6">
        <f>IFERROR(TEXTBEFORE('周计划明细'!E21,":"),"")</f>
        <v/>
      </c>
      <c r="D60" s="6">
        <f>IFERROR(VALUE(TEXTBEFORE(TEXTAFTER('周计划明细'!E21,"|"),"h")),0)</f>
        <v/>
      </c>
    </row>
    <row r="61">
      <c r="A61" s="6" t="n">
        <v>21</v>
      </c>
      <c r="B61" s="6" t="inlineStr">
        <is>
          <t>晚上</t>
        </is>
      </c>
      <c r="C61" s="6">
        <f>IFERROR(TEXTBEFORE('周计划明细'!F21,":"),"")</f>
        <v/>
      </c>
      <c r="D61" s="6">
        <f>IFERROR(VALUE(TEXTBEFORE(TEXTAFTER('周计划明细'!F21,"|"),"h")),0)</f>
        <v/>
      </c>
    </row>
    <row r="62">
      <c r="A62" s="6" t="n">
        <v>22</v>
      </c>
      <c r="B62" s="6" t="inlineStr">
        <is>
          <t>上午</t>
        </is>
      </c>
      <c r="C62" s="6">
        <f>IFERROR(TEXTBEFORE('周计划明细'!D22,":"),"")</f>
        <v/>
      </c>
      <c r="D62" s="6">
        <f>IFERROR(VALUE(TEXTBEFORE(TEXTAFTER('周计划明细'!D22,"|"),"h")),0)</f>
        <v/>
      </c>
    </row>
    <row r="63">
      <c r="A63" s="6" t="n">
        <v>22</v>
      </c>
      <c r="B63" s="6" t="inlineStr">
        <is>
          <t>下午</t>
        </is>
      </c>
      <c r="C63" s="6">
        <f>IFERROR(TEXTBEFORE('周计划明细'!E22,":"),"")</f>
        <v/>
      </c>
      <c r="D63" s="6">
        <f>IFERROR(VALUE(TEXTBEFORE(TEXTAFTER('周计划明细'!E22,"|"),"h")),0)</f>
        <v/>
      </c>
    </row>
    <row r="64">
      <c r="A64" s="6" t="n">
        <v>22</v>
      </c>
      <c r="B64" s="6" t="inlineStr">
        <is>
          <t>晚上</t>
        </is>
      </c>
      <c r="C64" s="6">
        <f>IFERROR(TEXTBEFORE('周计划明细'!F22,":"),"")</f>
        <v/>
      </c>
      <c r="D64" s="6">
        <f>IFERROR(VALUE(TEXTBEFORE(TEXTAFTER('周计划明细'!F22,"|"),"h")),0)</f>
        <v/>
      </c>
    </row>
    <row r="65">
      <c r="A65" s="6" t="n">
        <v>23</v>
      </c>
      <c r="B65" s="6" t="inlineStr">
        <is>
          <t>上午</t>
        </is>
      </c>
      <c r="C65" s="6">
        <f>IFERROR(TEXTBEFORE('周计划明细'!D23,":"),"")</f>
        <v/>
      </c>
      <c r="D65" s="6">
        <f>IFERROR(VALUE(TEXTBEFORE(TEXTAFTER('周计划明细'!D23,"|"),"h")),0)</f>
        <v/>
      </c>
    </row>
    <row r="66">
      <c r="A66" s="6" t="n">
        <v>23</v>
      </c>
      <c r="B66" s="6" t="inlineStr">
        <is>
          <t>下午</t>
        </is>
      </c>
      <c r="C66" s="6">
        <f>IFERROR(TEXTBEFORE('周计划明细'!E23,":"),"")</f>
        <v/>
      </c>
      <c r="D66" s="6">
        <f>IFERROR(VALUE(TEXTBEFORE(TEXTAFTER('周计划明细'!E23,"|"),"h")),0)</f>
        <v/>
      </c>
    </row>
    <row r="67">
      <c r="A67" s="6" t="n">
        <v>23</v>
      </c>
      <c r="B67" s="6" t="inlineStr">
        <is>
          <t>晚上</t>
        </is>
      </c>
      <c r="C67" s="6">
        <f>IFERROR(TEXTBEFORE('周计划明细'!F23,":"),"")</f>
        <v/>
      </c>
      <c r="D67" s="6">
        <f>IFERROR(VALUE(TEXTBEFORE(TEXTAFTER('周计划明细'!F23,"|"),"h")),0)</f>
        <v/>
      </c>
    </row>
    <row r="68">
      <c r="A68" s="6" t="n">
        <v>24</v>
      </c>
      <c r="B68" s="6" t="inlineStr">
        <is>
          <t>上午</t>
        </is>
      </c>
      <c r="C68" s="6">
        <f>IFERROR(TEXTBEFORE('周计划明细'!D24,":"),"")</f>
        <v/>
      </c>
      <c r="D68" s="6">
        <f>IFERROR(VALUE(TEXTBEFORE(TEXTAFTER('周计划明细'!D24,"|"),"h")),0)</f>
        <v/>
      </c>
    </row>
    <row r="69">
      <c r="A69" s="6" t="n">
        <v>24</v>
      </c>
      <c r="B69" s="6" t="inlineStr">
        <is>
          <t>下午</t>
        </is>
      </c>
      <c r="C69" s="6">
        <f>IFERROR(TEXTBEFORE('周计划明细'!E24,":"),"")</f>
        <v/>
      </c>
      <c r="D69" s="6">
        <f>IFERROR(VALUE(TEXTBEFORE(TEXTAFTER('周计划明细'!E24,"|"),"h")),0)</f>
        <v/>
      </c>
    </row>
    <row r="70">
      <c r="A70" s="6" t="n">
        <v>24</v>
      </c>
      <c r="B70" s="6" t="inlineStr">
        <is>
          <t>晚上</t>
        </is>
      </c>
      <c r="C70" s="6">
        <f>IFERROR(TEXTBEFORE('周计划明细'!F24,":"),"")</f>
        <v/>
      </c>
      <c r="D70" s="6">
        <f>IFERROR(VALUE(TEXTBEFORE(TEXTAFTER('周计划明细'!F24,"|"),"h")),0)</f>
        <v/>
      </c>
    </row>
    <row r="71">
      <c r="A71" s="6" t="n">
        <v>25</v>
      </c>
      <c r="B71" s="6" t="inlineStr">
        <is>
          <t>上午</t>
        </is>
      </c>
      <c r="C71" s="6">
        <f>IFERROR(TEXTBEFORE('周计划明细'!D25,":"),"")</f>
        <v/>
      </c>
      <c r="D71" s="6">
        <f>IFERROR(VALUE(TEXTBEFORE(TEXTAFTER('周计划明细'!D25,"|"),"h")),0)</f>
        <v/>
      </c>
    </row>
    <row r="72">
      <c r="A72" s="6" t="n">
        <v>25</v>
      </c>
      <c r="B72" s="6" t="inlineStr">
        <is>
          <t>下午</t>
        </is>
      </c>
      <c r="C72" s="6">
        <f>IFERROR(TEXTBEFORE('周计划明细'!E25,":"),"")</f>
        <v/>
      </c>
      <c r="D72" s="6">
        <f>IFERROR(VALUE(TEXTBEFORE(TEXTAFTER('周计划明细'!E25,"|"),"h")),0)</f>
        <v/>
      </c>
    </row>
    <row r="73">
      <c r="A73" s="6" t="n">
        <v>25</v>
      </c>
      <c r="B73" s="6" t="inlineStr">
        <is>
          <t>晚上</t>
        </is>
      </c>
      <c r="C73" s="6">
        <f>IFERROR(TEXTBEFORE('周计划明细'!F25,":"),"")</f>
        <v/>
      </c>
      <c r="D73" s="6">
        <f>IFERROR(VALUE(TEXTBEFORE(TEXTAFTER('周计划明细'!F25,"|"),"h")),0)</f>
        <v/>
      </c>
    </row>
    <row r="74">
      <c r="A74" s="6" t="n">
        <v>26</v>
      </c>
      <c r="B74" s="6" t="inlineStr">
        <is>
          <t>上午</t>
        </is>
      </c>
      <c r="C74" s="6">
        <f>IFERROR(TEXTBEFORE('周计划明细'!D26,":"),"")</f>
        <v/>
      </c>
      <c r="D74" s="6">
        <f>IFERROR(VALUE(TEXTBEFORE(TEXTAFTER('周计划明细'!D26,"|"),"h")),0)</f>
        <v/>
      </c>
    </row>
    <row r="75">
      <c r="A75" s="6" t="n">
        <v>26</v>
      </c>
      <c r="B75" s="6" t="inlineStr">
        <is>
          <t>下午</t>
        </is>
      </c>
      <c r="C75" s="6">
        <f>IFERROR(TEXTBEFORE('周计划明细'!E26,":"),"")</f>
        <v/>
      </c>
      <c r="D75" s="6">
        <f>IFERROR(VALUE(TEXTBEFORE(TEXTAFTER('周计划明细'!E26,"|"),"h")),0)</f>
        <v/>
      </c>
    </row>
    <row r="76">
      <c r="A76" s="6" t="n">
        <v>26</v>
      </c>
      <c r="B76" s="6" t="inlineStr">
        <is>
          <t>晚上</t>
        </is>
      </c>
      <c r="C76" s="6">
        <f>IFERROR(TEXTBEFORE('周计划明细'!F26,":"),"")</f>
        <v/>
      </c>
      <c r="D76" s="6">
        <f>IFERROR(VALUE(TEXTBEFORE(TEXTAFTER('周计划明细'!F26,"|"),"h")),0)</f>
        <v/>
      </c>
    </row>
    <row r="77">
      <c r="A77" s="6" t="n">
        <v>27</v>
      </c>
      <c r="B77" s="6" t="inlineStr">
        <is>
          <t>上午</t>
        </is>
      </c>
      <c r="C77" s="6">
        <f>IFERROR(TEXTBEFORE('周计划明细'!D27,":"),"")</f>
        <v/>
      </c>
      <c r="D77" s="6">
        <f>IFERROR(VALUE(TEXTBEFORE(TEXTAFTER('周计划明细'!D27,"|"),"h")),0)</f>
        <v/>
      </c>
    </row>
    <row r="78">
      <c r="A78" s="6" t="n">
        <v>27</v>
      </c>
      <c r="B78" s="6" t="inlineStr">
        <is>
          <t>下午</t>
        </is>
      </c>
      <c r="C78" s="6">
        <f>IFERROR(TEXTBEFORE('周计划明细'!E27,":"),"")</f>
        <v/>
      </c>
      <c r="D78" s="6">
        <f>IFERROR(VALUE(TEXTBEFORE(TEXTAFTER('周计划明细'!E27,"|"),"h")),0)</f>
        <v/>
      </c>
    </row>
    <row r="79">
      <c r="A79" s="6" t="n">
        <v>27</v>
      </c>
      <c r="B79" s="6" t="inlineStr">
        <is>
          <t>晚上</t>
        </is>
      </c>
      <c r="C79" s="6">
        <f>IFERROR(TEXTBEFORE('周计划明细'!F27,":"),"")</f>
        <v/>
      </c>
      <c r="D79" s="6">
        <f>IFERROR(VALUE(TEXTBEFORE(TEXTAFTER('周计划明细'!F27,"|"),"h")),0)</f>
        <v/>
      </c>
    </row>
    <row r="80">
      <c r="A80" s="6" t="n">
        <v>28</v>
      </c>
      <c r="B80" s="6" t="inlineStr">
        <is>
          <t>上午</t>
        </is>
      </c>
      <c r="C80" s="6">
        <f>IFERROR(TEXTBEFORE('周计划明细'!D28,":"),"")</f>
        <v/>
      </c>
      <c r="D80" s="6">
        <f>IFERROR(VALUE(TEXTBEFORE(TEXTAFTER('周计划明细'!D28,"|"),"h")),0)</f>
        <v/>
      </c>
    </row>
    <row r="81">
      <c r="A81" s="6" t="n">
        <v>28</v>
      </c>
      <c r="B81" s="6" t="inlineStr">
        <is>
          <t>下午</t>
        </is>
      </c>
      <c r="C81" s="6">
        <f>IFERROR(TEXTBEFORE('周计划明细'!E28,":"),"")</f>
        <v/>
      </c>
      <c r="D81" s="6">
        <f>IFERROR(VALUE(TEXTBEFORE(TEXTAFTER('周计划明细'!E28,"|"),"h")),0)</f>
        <v/>
      </c>
    </row>
    <row r="82">
      <c r="A82" s="6" t="n">
        <v>28</v>
      </c>
      <c r="B82" s="6" t="inlineStr">
        <is>
          <t>晚上</t>
        </is>
      </c>
      <c r="C82" s="6">
        <f>IFERROR(TEXTBEFORE('周计划明细'!F28,":"),"")</f>
        <v/>
      </c>
      <c r="D82" s="6">
        <f>IFERROR(VALUE(TEXTBEFORE(TEXTAFTER('周计划明细'!F28,"|"),"h")),0)</f>
        <v/>
      </c>
    </row>
    <row r="83">
      <c r="A83" s="6" t="n">
        <v>29</v>
      </c>
      <c r="B83" s="6" t="inlineStr">
        <is>
          <t>上午</t>
        </is>
      </c>
      <c r="C83" s="6">
        <f>IFERROR(TEXTBEFORE('周计划明细'!D29,":"),"")</f>
        <v/>
      </c>
      <c r="D83" s="6">
        <f>IFERROR(VALUE(TEXTBEFORE(TEXTAFTER('周计划明细'!D29,"|"),"h")),0)</f>
        <v/>
      </c>
    </row>
    <row r="84">
      <c r="A84" s="6" t="n">
        <v>29</v>
      </c>
      <c r="B84" s="6" t="inlineStr">
        <is>
          <t>下午</t>
        </is>
      </c>
      <c r="C84" s="6">
        <f>IFERROR(TEXTBEFORE('周计划明细'!E29,":"),"")</f>
        <v/>
      </c>
      <c r="D84" s="6">
        <f>IFERROR(VALUE(TEXTBEFORE(TEXTAFTER('周计划明细'!E29,"|"),"h")),0)</f>
        <v/>
      </c>
    </row>
    <row r="85">
      <c r="A85" s="6" t="n">
        <v>29</v>
      </c>
      <c r="B85" s="6" t="inlineStr">
        <is>
          <t>晚上</t>
        </is>
      </c>
      <c r="C85" s="6">
        <f>IFERROR(TEXTBEFORE('周计划明细'!F29,":"),"")</f>
        <v/>
      </c>
      <c r="D85" s="6">
        <f>IFERROR(VALUE(TEXTBEFORE(TEXTAFTER('周计划明细'!F29,"|"),"h")),0)</f>
        <v/>
      </c>
    </row>
    <row r="86">
      <c r="A86" s="6" t="n">
        <v>30</v>
      </c>
      <c r="B86" s="6" t="inlineStr">
        <is>
          <t>上午</t>
        </is>
      </c>
      <c r="C86" s="6">
        <f>IFERROR(TEXTBEFORE('周计划明细'!D30,":"),"")</f>
        <v/>
      </c>
      <c r="D86" s="6">
        <f>IFERROR(VALUE(TEXTBEFORE(TEXTAFTER('周计划明细'!D30,"|"),"h")),0)</f>
        <v/>
      </c>
    </row>
    <row r="87">
      <c r="A87" s="6" t="n">
        <v>30</v>
      </c>
      <c r="B87" s="6" t="inlineStr">
        <is>
          <t>下午</t>
        </is>
      </c>
      <c r="C87" s="6">
        <f>IFERROR(TEXTBEFORE('周计划明细'!E30,":"),"")</f>
        <v/>
      </c>
      <c r="D87" s="6">
        <f>IFERROR(VALUE(TEXTBEFORE(TEXTAFTER('周计划明细'!E30,"|"),"h")),0)</f>
        <v/>
      </c>
    </row>
    <row r="88">
      <c r="A88" s="6" t="n">
        <v>30</v>
      </c>
      <c r="B88" s="6" t="inlineStr">
        <is>
          <t>晚上</t>
        </is>
      </c>
      <c r="C88" s="6">
        <f>IFERROR(TEXTBEFORE('周计划明细'!F30,":"),"")</f>
        <v/>
      </c>
      <c r="D88" s="6">
        <f>IFERROR(VALUE(TEXTBEFORE(TEXTAFTER('周计划明细'!F30,"|"),"h")),0)</f>
        <v/>
      </c>
    </row>
    <row r="89">
      <c r="A89" s="6" t="n">
        <v>31</v>
      </c>
      <c r="B89" s="6" t="inlineStr">
        <is>
          <t>上午</t>
        </is>
      </c>
      <c r="C89" s="6">
        <f>IFERROR(TEXTBEFORE('周计划明细'!D31,":"),"")</f>
        <v/>
      </c>
      <c r="D89" s="6">
        <f>IFERROR(VALUE(TEXTBEFORE(TEXTAFTER('周计划明细'!D31,"|"),"h")),0)</f>
        <v/>
      </c>
    </row>
    <row r="90">
      <c r="A90" s="6" t="n">
        <v>31</v>
      </c>
      <c r="B90" s="6" t="inlineStr">
        <is>
          <t>下午</t>
        </is>
      </c>
      <c r="C90" s="6">
        <f>IFERROR(TEXTBEFORE('周计划明细'!E31,":"),"")</f>
        <v/>
      </c>
      <c r="D90" s="6">
        <f>IFERROR(VALUE(TEXTBEFORE(TEXTAFTER('周计划明细'!E31,"|"),"h")),0)</f>
        <v/>
      </c>
    </row>
    <row r="91">
      <c r="A91" s="6" t="n">
        <v>31</v>
      </c>
      <c r="B91" s="6" t="inlineStr">
        <is>
          <t>晚上</t>
        </is>
      </c>
      <c r="C91" s="6">
        <f>IFERROR(TEXTBEFORE('周计划明细'!F31,":"),"")</f>
        <v/>
      </c>
      <c r="D91" s="6">
        <f>IFERROR(VALUE(TEXTBEFORE(TEXTAFTER('周计划明细'!F31,"|"),"h")),0)</f>
        <v/>
      </c>
    </row>
    <row r="92">
      <c r="A92" s="6" t="n">
        <v>32</v>
      </c>
      <c r="B92" s="6" t="inlineStr">
        <is>
          <t>上午</t>
        </is>
      </c>
      <c r="C92" s="6">
        <f>IFERROR(TEXTBEFORE('周计划明细'!D32,":"),"")</f>
        <v/>
      </c>
      <c r="D92" s="6">
        <f>IFERROR(VALUE(TEXTBEFORE(TEXTAFTER('周计划明细'!D32,"|"),"h")),0)</f>
        <v/>
      </c>
    </row>
    <row r="93">
      <c r="A93" s="6" t="n">
        <v>32</v>
      </c>
      <c r="B93" s="6" t="inlineStr">
        <is>
          <t>下午</t>
        </is>
      </c>
      <c r="C93" s="6">
        <f>IFERROR(TEXTBEFORE('周计划明细'!E32,":"),"")</f>
        <v/>
      </c>
      <c r="D93" s="6">
        <f>IFERROR(VALUE(TEXTBEFORE(TEXTAFTER('周计划明细'!E32,"|"),"h")),0)</f>
        <v/>
      </c>
    </row>
    <row r="94">
      <c r="A94" s="6" t="n">
        <v>32</v>
      </c>
      <c r="B94" s="6" t="inlineStr">
        <is>
          <t>晚上</t>
        </is>
      </c>
      <c r="C94" s="6">
        <f>IFERROR(TEXTBEFORE('周计划明细'!F32,":"),"")</f>
        <v/>
      </c>
      <c r="D94" s="6">
        <f>IFERROR(VALUE(TEXTBEFORE(TEXTAFTER('周计划明细'!F32,"|"),"h")),0)</f>
        <v/>
      </c>
    </row>
    <row r="95">
      <c r="A95" s="6" t="n">
        <v>33</v>
      </c>
      <c r="B95" s="6" t="inlineStr">
        <is>
          <t>上午</t>
        </is>
      </c>
      <c r="C95" s="6">
        <f>IFERROR(TEXTBEFORE('周计划明细'!D33,":"),"")</f>
        <v/>
      </c>
      <c r="D95" s="6">
        <f>IFERROR(VALUE(TEXTBEFORE(TEXTAFTER('周计划明细'!D33,"|"),"h")),0)</f>
        <v/>
      </c>
    </row>
    <row r="96">
      <c r="A96" s="6" t="n">
        <v>33</v>
      </c>
      <c r="B96" s="6" t="inlineStr">
        <is>
          <t>下午</t>
        </is>
      </c>
      <c r="C96" s="6">
        <f>IFERROR(TEXTBEFORE('周计划明细'!E33,":"),"")</f>
        <v/>
      </c>
      <c r="D96" s="6">
        <f>IFERROR(VALUE(TEXTBEFORE(TEXTAFTER('周计划明细'!E33,"|"),"h")),0)</f>
        <v/>
      </c>
    </row>
    <row r="97">
      <c r="A97" s="6" t="n">
        <v>33</v>
      </c>
      <c r="B97" s="6" t="inlineStr">
        <is>
          <t>晚上</t>
        </is>
      </c>
      <c r="C97" s="6">
        <f>IFERROR(TEXTBEFORE('周计划明细'!F33,":"),"")</f>
        <v/>
      </c>
      <c r="D97" s="6">
        <f>IFERROR(VALUE(TEXTBEFORE(TEXTAFTER('周计划明细'!F33,"|"),"h")),0)</f>
        <v/>
      </c>
    </row>
    <row r="98">
      <c r="A98" s="6" t="n">
        <v>34</v>
      </c>
      <c r="B98" s="6" t="inlineStr">
        <is>
          <t>上午</t>
        </is>
      </c>
      <c r="C98" s="6">
        <f>IFERROR(TEXTBEFORE('周计划明细'!D34,":"),"")</f>
        <v/>
      </c>
      <c r="D98" s="6">
        <f>IFERROR(VALUE(TEXTBEFORE(TEXTAFTER('周计划明细'!D34,"|"),"h")),0)</f>
        <v/>
      </c>
    </row>
    <row r="99">
      <c r="A99" s="6" t="n">
        <v>34</v>
      </c>
      <c r="B99" s="6" t="inlineStr">
        <is>
          <t>下午</t>
        </is>
      </c>
      <c r="C99" s="6">
        <f>IFERROR(TEXTBEFORE('周计划明细'!E34,":"),"")</f>
        <v/>
      </c>
      <c r="D99" s="6">
        <f>IFERROR(VALUE(TEXTBEFORE(TEXTAFTER('周计划明细'!E34,"|"),"h")),0)</f>
        <v/>
      </c>
    </row>
    <row r="100">
      <c r="A100" s="6" t="n">
        <v>34</v>
      </c>
      <c r="B100" s="6" t="inlineStr">
        <is>
          <t>晚上</t>
        </is>
      </c>
      <c r="C100" s="6">
        <f>IFERROR(TEXTBEFORE('周计划明细'!F34,":"),"")</f>
        <v/>
      </c>
      <c r="D100" s="6">
        <f>IFERROR(VALUE(TEXTBEFORE(TEXTAFTER('周计划明细'!F34,"|"),"h")),0)</f>
        <v/>
      </c>
    </row>
    <row r="101">
      <c r="A101" s="6" t="n">
        <v>35</v>
      </c>
      <c r="B101" s="6" t="inlineStr">
        <is>
          <t>上午</t>
        </is>
      </c>
      <c r="C101" s="6">
        <f>IFERROR(TEXTBEFORE('周计划明细'!D35,":"),"")</f>
        <v/>
      </c>
      <c r="D101" s="6">
        <f>IFERROR(VALUE(TEXTBEFORE(TEXTAFTER('周计划明细'!D35,"|"),"h")),0)</f>
        <v/>
      </c>
    </row>
    <row r="102">
      <c r="A102" s="6" t="n">
        <v>35</v>
      </c>
      <c r="B102" s="6" t="inlineStr">
        <is>
          <t>下午</t>
        </is>
      </c>
      <c r="C102" s="6">
        <f>IFERROR(TEXTBEFORE('周计划明细'!E35,":"),"")</f>
        <v/>
      </c>
      <c r="D102" s="6">
        <f>IFERROR(VALUE(TEXTBEFORE(TEXTAFTER('周计划明细'!E35,"|"),"h")),0)</f>
        <v/>
      </c>
    </row>
    <row r="103">
      <c r="A103" s="6" t="n">
        <v>35</v>
      </c>
      <c r="B103" s="6" t="inlineStr">
        <is>
          <t>晚上</t>
        </is>
      </c>
      <c r="C103" s="6">
        <f>IFERROR(TEXTBEFORE('周计划明细'!F35,":"),"")</f>
        <v/>
      </c>
      <c r="D103" s="6">
        <f>IFERROR(VALUE(TEXTBEFORE(TEXTAFTER('周计划明细'!F35,"|"),"h")),0)</f>
        <v/>
      </c>
    </row>
    <row r="104">
      <c r="A104" s="6" t="n">
        <v>36</v>
      </c>
      <c r="B104" s="6" t="inlineStr">
        <is>
          <t>上午</t>
        </is>
      </c>
      <c r="C104" s="6">
        <f>IFERROR(TEXTBEFORE('周计划明细'!D36,":"),"")</f>
        <v/>
      </c>
      <c r="D104" s="6">
        <f>IFERROR(VALUE(TEXTBEFORE(TEXTAFTER('周计划明细'!D36,"|"),"h")),0)</f>
        <v/>
      </c>
    </row>
    <row r="105">
      <c r="A105" s="6" t="n">
        <v>36</v>
      </c>
      <c r="B105" s="6" t="inlineStr">
        <is>
          <t>下午</t>
        </is>
      </c>
      <c r="C105" s="6">
        <f>IFERROR(TEXTBEFORE('周计划明细'!E36,":"),"")</f>
        <v/>
      </c>
      <c r="D105" s="6">
        <f>IFERROR(VALUE(TEXTBEFORE(TEXTAFTER('周计划明细'!E36,"|"),"h")),0)</f>
        <v/>
      </c>
    </row>
    <row r="106">
      <c r="A106" s="6" t="n">
        <v>36</v>
      </c>
      <c r="B106" s="6" t="inlineStr">
        <is>
          <t>晚上</t>
        </is>
      </c>
      <c r="C106" s="6">
        <f>IFERROR(TEXTBEFORE('周计划明细'!F36,":"),"")</f>
        <v/>
      </c>
      <c r="D106" s="6">
        <f>IFERROR(VALUE(TEXTBEFORE(TEXTAFTER('周计划明细'!F36,"|"),"h")),0)</f>
        <v/>
      </c>
    </row>
    <row r="107">
      <c r="A107" s="6" t="n">
        <v>37</v>
      </c>
      <c r="B107" s="6" t="inlineStr">
        <is>
          <t>上午</t>
        </is>
      </c>
      <c r="C107" s="6">
        <f>IFERROR(TEXTBEFORE('周计划明细'!D37,":"),"")</f>
        <v/>
      </c>
      <c r="D107" s="6">
        <f>IFERROR(VALUE(TEXTBEFORE(TEXTAFTER('周计划明细'!D37,"|"),"h")),0)</f>
        <v/>
      </c>
    </row>
    <row r="108">
      <c r="A108" s="6" t="n">
        <v>37</v>
      </c>
      <c r="B108" s="6" t="inlineStr">
        <is>
          <t>下午</t>
        </is>
      </c>
      <c r="C108" s="6">
        <f>IFERROR(TEXTBEFORE('周计划明细'!E37,":"),"")</f>
        <v/>
      </c>
      <c r="D108" s="6">
        <f>IFERROR(VALUE(TEXTBEFORE(TEXTAFTER('周计划明细'!E37,"|"),"h")),0)</f>
        <v/>
      </c>
    </row>
    <row r="109">
      <c r="A109" s="6" t="n">
        <v>37</v>
      </c>
      <c r="B109" s="6" t="inlineStr">
        <is>
          <t>晚上</t>
        </is>
      </c>
      <c r="C109" s="6">
        <f>IFERROR(TEXTBEFORE('周计划明细'!F37,":"),"")</f>
        <v/>
      </c>
      <c r="D109" s="6">
        <f>IFERROR(VALUE(TEXTBEFORE(TEXTAFTER('周计划明细'!F37,"|"),"h")),0)</f>
        <v/>
      </c>
    </row>
    <row r="110">
      <c r="A110" s="6" t="n">
        <v>38</v>
      </c>
      <c r="B110" s="6" t="inlineStr">
        <is>
          <t>上午</t>
        </is>
      </c>
      <c r="C110" s="6">
        <f>IFERROR(TEXTBEFORE('周计划明细'!D38,":"),"")</f>
        <v/>
      </c>
      <c r="D110" s="6">
        <f>IFERROR(VALUE(TEXTBEFORE(TEXTAFTER('周计划明细'!D38,"|"),"h")),0)</f>
        <v/>
      </c>
    </row>
    <row r="111">
      <c r="A111" s="6" t="n">
        <v>38</v>
      </c>
      <c r="B111" s="6" t="inlineStr">
        <is>
          <t>下午</t>
        </is>
      </c>
      <c r="C111" s="6">
        <f>IFERROR(TEXTBEFORE('周计划明细'!E38,":"),"")</f>
        <v/>
      </c>
      <c r="D111" s="6">
        <f>IFERROR(VALUE(TEXTBEFORE(TEXTAFTER('周计划明细'!E38,"|"),"h")),0)</f>
        <v/>
      </c>
    </row>
    <row r="112">
      <c r="A112" s="6" t="n">
        <v>38</v>
      </c>
      <c r="B112" s="6" t="inlineStr">
        <is>
          <t>晚上</t>
        </is>
      </c>
      <c r="C112" s="6">
        <f>IFERROR(TEXTBEFORE('周计划明细'!F38,":"),"")</f>
        <v/>
      </c>
      <c r="D112" s="6">
        <f>IFERROR(VALUE(TEXTBEFORE(TEXTAFTER('周计划明细'!F38,"|"),"h")),0)</f>
        <v/>
      </c>
    </row>
    <row r="113">
      <c r="A113" s="6" t="n">
        <v>39</v>
      </c>
      <c r="B113" s="6" t="inlineStr">
        <is>
          <t>上午</t>
        </is>
      </c>
      <c r="C113" s="6">
        <f>IFERROR(TEXTBEFORE('周计划明细'!D39,":"),"")</f>
        <v/>
      </c>
      <c r="D113" s="6">
        <f>IFERROR(VALUE(TEXTBEFORE(TEXTAFTER('周计划明细'!D39,"|"),"h")),0)</f>
        <v/>
      </c>
    </row>
    <row r="114">
      <c r="A114" s="6" t="n">
        <v>39</v>
      </c>
      <c r="B114" s="6" t="inlineStr">
        <is>
          <t>下午</t>
        </is>
      </c>
      <c r="C114" s="6">
        <f>IFERROR(TEXTBEFORE('周计划明细'!E39,":"),"")</f>
        <v/>
      </c>
      <c r="D114" s="6">
        <f>IFERROR(VALUE(TEXTBEFORE(TEXTAFTER('周计划明细'!E39,"|"),"h")),0)</f>
        <v/>
      </c>
    </row>
    <row r="115">
      <c r="A115" s="6" t="n">
        <v>39</v>
      </c>
      <c r="B115" s="6" t="inlineStr">
        <is>
          <t>晚上</t>
        </is>
      </c>
      <c r="C115" s="6">
        <f>IFERROR(TEXTBEFORE('周计划明细'!F39,":"),"")</f>
        <v/>
      </c>
      <c r="D115" s="6">
        <f>IFERROR(VALUE(TEXTBEFORE(TEXTAFTER('周计划明细'!F39,"|"),"h")),0)</f>
        <v/>
      </c>
    </row>
    <row r="116">
      <c r="A116" s="6" t="n">
        <v>40</v>
      </c>
      <c r="B116" s="6" t="inlineStr">
        <is>
          <t>上午</t>
        </is>
      </c>
      <c r="C116" s="6">
        <f>IFERROR(TEXTBEFORE('周计划明细'!D40,":"),"")</f>
        <v/>
      </c>
      <c r="D116" s="6">
        <f>IFERROR(VALUE(TEXTBEFORE(TEXTAFTER('周计划明细'!D40,"|"),"h")),0)</f>
        <v/>
      </c>
    </row>
    <row r="117">
      <c r="A117" s="6" t="n">
        <v>40</v>
      </c>
      <c r="B117" s="6" t="inlineStr">
        <is>
          <t>下午</t>
        </is>
      </c>
      <c r="C117" s="6">
        <f>IFERROR(TEXTBEFORE('周计划明细'!E40,":"),"")</f>
        <v/>
      </c>
      <c r="D117" s="6">
        <f>IFERROR(VALUE(TEXTBEFORE(TEXTAFTER('周计划明细'!E40,"|"),"h")),0)</f>
        <v/>
      </c>
    </row>
    <row r="118">
      <c r="A118" s="6" t="n">
        <v>40</v>
      </c>
      <c r="B118" s="6" t="inlineStr">
        <is>
          <t>晚上</t>
        </is>
      </c>
      <c r="C118" s="6">
        <f>IFERROR(TEXTBEFORE('周计划明细'!F40,":"),"")</f>
        <v/>
      </c>
      <c r="D118" s="6">
        <f>IFERROR(VALUE(TEXTBEFORE(TEXTAFTER('周计划明细'!F40,"|"),"h")),0)</f>
        <v/>
      </c>
    </row>
    <row r="119">
      <c r="A119" s="6" t="n">
        <v>41</v>
      </c>
      <c r="B119" s="6" t="inlineStr">
        <is>
          <t>上午</t>
        </is>
      </c>
      <c r="C119" s="6">
        <f>IFERROR(TEXTBEFORE('周计划明细'!D41,":"),"")</f>
        <v/>
      </c>
      <c r="D119" s="6">
        <f>IFERROR(VALUE(TEXTBEFORE(TEXTAFTER('周计划明细'!D41,"|"),"h")),0)</f>
        <v/>
      </c>
    </row>
    <row r="120">
      <c r="A120" s="6" t="n">
        <v>41</v>
      </c>
      <c r="B120" s="6" t="inlineStr">
        <is>
          <t>下午</t>
        </is>
      </c>
      <c r="C120" s="6">
        <f>IFERROR(TEXTBEFORE('周计划明细'!E41,":"),"")</f>
        <v/>
      </c>
      <c r="D120" s="6">
        <f>IFERROR(VALUE(TEXTBEFORE(TEXTAFTER('周计划明细'!E41,"|"),"h")),0)</f>
        <v/>
      </c>
    </row>
    <row r="121">
      <c r="A121" s="6" t="n">
        <v>41</v>
      </c>
      <c r="B121" s="6" t="inlineStr">
        <is>
          <t>晚上</t>
        </is>
      </c>
      <c r="C121" s="6">
        <f>IFERROR(TEXTBEFORE('周计划明细'!F41,":"),"")</f>
        <v/>
      </c>
      <c r="D121" s="6">
        <f>IFERROR(VALUE(TEXTBEFORE(TEXTAFTER('周计划明细'!F41,"|"),"h")),0)</f>
        <v/>
      </c>
    </row>
    <row r="122">
      <c r="A122" s="6" t="n">
        <v>42</v>
      </c>
      <c r="B122" s="6" t="inlineStr">
        <is>
          <t>上午</t>
        </is>
      </c>
      <c r="C122" s="6">
        <f>IFERROR(TEXTBEFORE('周计划明细'!D42,":"),"")</f>
        <v/>
      </c>
      <c r="D122" s="6">
        <f>IFERROR(VALUE(TEXTBEFORE(TEXTAFTER('周计划明细'!D42,"|"),"h")),0)</f>
        <v/>
      </c>
    </row>
    <row r="123">
      <c r="A123" s="6" t="n">
        <v>42</v>
      </c>
      <c r="B123" s="6" t="inlineStr">
        <is>
          <t>下午</t>
        </is>
      </c>
      <c r="C123" s="6">
        <f>IFERROR(TEXTBEFORE('周计划明细'!E42,":"),"")</f>
        <v/>
      </c>
      <c r="D123" s="6">
        <f>IFERROR(VALUE(TEXTBEFORE(TEXTAFTER('周计划明细'!E42,"|"),"h")),0)</f>
        <v/>
      </c>
    </row>
    <row r="124">
      <c r="A124" s="6" t="n">
        <v>42</v>
      </c>
      <c r="B124" s="6" t="inlineStr">
        <is>
          <t>晚上</t>
        </is>
      </c>
      <c r="C124" s="6">
        <f>IFERROR(TEXTBEFORE('周计划明细'!F42,":"),"")</f>
        <v/>
      </c>
      <c r="D124" s="6">
        <f>IFERROR(VALUE(TEXTBEFORE(TEXTAFTER('周计划明细'!F42,"|"),"h")),0)</f>
        <v/>
      </c>
    </row>
    <row r="125">
      <c r="A125" s="6" t="n">
        <v>43</v>
      </c>
      <c r="B125" s="6" t="inlineStr">
        <is>
          <t>上午</t>
        </is>
      </c>
      <c r="C125" s="6">
        <f>IFERROR(TEXTBEFORE('周计划明细'!D43,":"),"")</f>
        <v/>
      </c>
      <c r="D125" s="6">
        <f>IFERROR(VALUE(TEXTBEFORE(TEXTAFTER('周计划明细'!D43,"|"),"h")),0)</f>
        <v/>
      </c>
    </row>
    <row r="126">
      <c r="A126" s="6" t="n">
        <v>43</v>
      </c>
      <c r="B126" s="6" t="inlineStr">
        <is>
          <t>下午</t>
        </is>
      </c>
      <c r="C126" s="6">
        <f>IFERROR(TEXTBEFORE('周计划明细'!E43,":"),"")</f>
        <v/>
      </c>
      <c r="D126" s="6">
        <f>IFERROR(VALUE(TEXTBEFORE(TEXTAFTER('周计划明细'!E43,"|"),"h")),0)</f>
        <v/>
      </c>
    </row>
    <row r="127">
      <c r="A127" s="6" t="n">
        <v>43</v>
      </c>
      <c r="B127" s="6" t="inlineStr">
        <is>
          <t>晚上</t>
        </is>
      </c>
      <c r="C127" s="6">
        <f>IFERROR(TEXTBEFORE('周计划明细'!F43,":"),"")</f>
        <v/>
      </c>
      <c r="D127" s="6">
        <f>IFERROR(VALUE(TEXTBEFORE(TEXTAFTER('周计划明细'!F43,"|"),"h")),0)</f>
        <v/>
      </c>
    </row>
    <row r="128">
      <c r="A128" s="6" t="n">
        <v>44</v>
      </c>
      <c r="B128" s="6" t="inlineStr">
        <is>
          <t>上午</t>
        </is>
      </c>
      <c r="C128" s="6">
        <f>IFERROR(TEXTBEFORE('周计划明细'!D44,":"),"")</f>
        <v/>
      </c>
      <c r="D128" s="6">
        <f>IFERROR(VALUE(TEXTBEFORE(TEXTAFTER('周计划明细'!D44,"|"),"h")),0)</f>
        <v/>
      </c>
    </row>
    <row r="129">
      <c r="A129" s="6" t="n">
        <v>44</v>
      </c>
      <c r="B129" s="6" t="inlineStr">
        <is>
          <t>下午</t>
        </is>
      </c>
      <c r="C129" s="6">
        <f>IFERROR(TEXTBEFORE('周计划明细'!E44,":"),"")</f>
        <v/>
      </c>
      <c r="D129" s="6">
        <f>IFERROR(VALUE(TEXTBEFORE(TEXTAFTER('周计划明细'!E44,"|"),"h")),0)</f>
        <v/>
      </c>
    </row>
    <row r="130">
      <c r="A130" s="6" t="n">
        <v>44</v>
      </c>
      <c r="B130" s="6" t="inlineStr">
        <is>
          <t>晚上</t>
        </is>
      </c>
      <c r="C130" s="6">
        <f>IFERROR(TEXTBEFORE('周计划明细'!F44,":"),"")</f>
        <v/>
      </c>
      <c r="D130" s="6">
        <f>IFERROR(VALUE(TEXTBEFORE(TEXTAFTER('周计划明细'!F44,"|"),"h")),0)</f>
        <v/>
      </c>
    </row>
    <row r="131">
      <c r="A131" s="6" t="n">
        <v>45</v>
      </c>
      <c r="B131" s="6" t="inlineStr">
        <is>
          <t>上午</t>
        </is>
      </c>
      <c r="C131" s="6">
        <f>IFERROR(TEXTBEFORE('周计划明细'!D45,":"),"")</f>
        <v/>
      </c>
      <c r="D131" s="6">
        <f>IFERROR(VALUE(TEXTBEFORE(TEXTAFTER('周计划明细'!D45,"|"),"h")),0)</f>
        <v/>
      </c>
    </row>
    <row r="132">
      <c r="A132" s="6" t="n">
        <v>45</v>
      </c>
      <c r="B132" s="6" t="inlineStr">
        <is>
          <t>下午</t>
        </is>
      </c>
      <c r="C132" s="6">
        <f>IFERROR(TEXTBEFORE('周计划明细'!E45,":"),"")</f>
        <v/>
      </c>
      <c r="D132" s="6">
        <f>IFERROR(VALUE(TEXTBEFORE(TEXTAFTER('周计划明细'!E45,"|"),"h")),0)</f>
        <v/>
      </c>
    </row>
    <row r="133">
      <c r="A133" s="6" t="n">
        <v>45</v>
      </c>
      <c r="B133" s="6" t="inlineStr">
        <is>
          <t>晚上</t>
        </is>
      </c>
      <c r="C133" s="6">
        <f>IFERROR(TEXTBEFORE('周计划明细'!F45,":"),"")</f>
        <v/>
      </c>
      <c r="D133" s="6">
        <f>IFERROR(VALUE(TEXTBEFORE(TEXTAFTER('周计划明细'!F45,"|"),"h")),0)</f>
        <v/>
      </c>
    </row>
    <row r="134">
      <c r="A134" s="6" t="n">
        <v>46</v>
      </c>
      <c r="B134" s="6" t="inlineStr">
        <is>
          <t>上午</t>
        </is>
      </c>
      <c r="C134" s="6">
        <f>IFERROR(TEXTBEFORE('周计划明细'!D46,":"),"")</f>
        <v/>
      </c>
      <c r="D134" s="6">
        <f>IFERROR(VALUE(TEXTBEFORE(TEXTAFTER('周计划明细'!D46,"|"),"h")),0)</f>
        <v/>
      </c>
    </row>
    <row r="135">
      <c r="A135" s="6" t="n">
        <v>46</v>
      </c>
      <c r="B135" s="6" t="inlineStr">
        <is>
          <t>下午</t>
        </is>
      </c>
      <c r="C135" s="6">
        <f>IFERROR(TEXTBEFORE('周计划明细'!E46,":"),"")</f>
        <v/>
      </c>
      <c r="D135" s="6">
        <f>IFERROR(VALUE(TEXTBEFORE(TEXTAFTER('周计划明细'!E46,"|"),"h")),0)</f>
        <v/>
      </c>
    </row>
    <row r="136">
      <c r="A136" s="6" t="n">
        <v>46</v>
      </c>
      <c r="B136" s="6" t="inlineStr">
        <is>
          <t>晚上</t>
        </is>
      </c>
      <c r="C136" s="6">
        <f>IFERROR(TEXTBEFORE('周计划明细'!F46,":"),"")</f>
        <v/>
      </c>
      <c r="D136" s="6">
        <f>IFERROR(VALUE(TEXTBEFORE(TEXTAFTER('周计划明细'!F46,"|"),"h")),0)</f>
        <v/>
      </c>
    </row>
    <row r="137">
      <c r="A137" s="6" t="n">
        <v>47</v>
      </c>
      <c r="B137" s="6" t="inlineStr">
        <is>
          <t>上午</t>
        </is>
      </c>
      <c r="C137" s="6">
        <f>IFERROR(TEXTBEFORE('周计划明细'!D47,":"),"")</f>
        <v/>
      </c>
      <c r="D137" s="6">
        <f>IFERROR(VALUE(TEXTBEFORE(TEXTAFTER('周计划明细'!D47,"|"),"h")),0)</f>
        <v/>
      </c>
    </row>
    <row r="138">
      <c r="A138" s="6" t="n">
        <v>47</v>
      </c>
      <c r="B138" s="6" t="inlineStr">
        <is>
          <t>下午</t>
        </is>
      </c>
      <c r="C138" s="6">
        <f>IFERROR(TEXTBEFORE('周计划明细'!E47,":"),"")</f>
        <v/>
      </c>
      <c r="D138" s="6">
        <f>IFERROR(VALUE(TEXTBEFORE(TEXTAFTER('周计划明细'!E47,"|"),"h")),0)</f>
        <v/>
      </c>
    </row>
    <row r="139">
      <c r="A139" s="6" t="n">
        <v>47</v>
      </c>
      <c r="B139" s="6" t="inlineStr">
        <is>
          <t>晚上</t>
        </is>
      </c>
      <c r="C139" s="6">
        <f>IFERROR(TEXTBEFORE('周计划明细'!F47,":"),"")</f>
        <v/>
      </c>
      <c r="D139" s="6">
        <f>IFERROR(VALUE(TEXTBEFORE(TEXTAFTER('周计划明细'!F47,"|"),"h")),0)</f>
        <v/>
      </c>
    </row>
    <row r="140">
      <c r="A140" s="6" t="n">
        <v>48</v>
      </c>
      <c r="B140" s="6" t="inlineStr">
        <is>
          <t>上午</t>
        </is>
      </c>
      <c r="C140" s="6">
        <f>IFERROR(TEXTBEFORE('周计划明细'!D48,":"),"")</f>
        <v/>
      </c>
      <c r="D140" s="6">
        <f>IFERROR(VALUE(TEXTBEFORE(TEXTAFTER('周计划明细'!D48,"|"),"h")),0)</f>
        <v/>
      </c>
    </row>
    <row r="141">
      <c r="A141" s="6" t="n">
        <v>48</v>
      </c>
      <c r="B141" s="6" t="inlineStr">
        <is>
          <t>下午</t>
        </is>
      </c>
      <c r="C141" s="6">
        <f>IFERROR(TEXTBEFORE('周计划明细'!E48,":"),"")</f>
        <v/>
      </c>
      <c r="D141" s="6">
        <f>IFERROR(VALUE(TEXTBEFORE(TEXTAFTER('周计划明细'!E48,"|"),"h")),0)</f>
        <v/>
      </c>
    </row>
    <row r="142">
      <c r="A142" s="6" t="n">
        <v>48</v>
      </c>
      <c r="B142" s="6" t="inlineStr">
        <is>
          <t>晚上</t>
        </is>
      </c>
      <c r="C142" s="6">
        <f>IFERROR(TEXTBEFORE('周计划明细'!F48,":"),"")</f>
        <v/>
      </c>
      <c r="D142" s="6">
        <f>IFERROR(VALUE(TEXTBEFORE(TEXTAFTER('周计划明细'!F48,"|"),"h")),0)</f>
        <v/>
      </c>
    </row>
    <row r="143">
      <c r="A143" s="6" t="n">
        <v>49</v>
      </c>
      <c r="B143" s="6" t="inlineStr">
        <is>
          <t>上午</t>
        </is>
      </c>
      <c r="C143" s="6">
        <f>IFERROR(TEXTBEFORE('周计划明细'!D49,":"),"")</f>
        <v/>
      </c>
      <c r="D143" s="6">
        <f>IFERROR(VALUE(TEXTBEFORE(TEXTAFTER('周计划明细'!D49,"|"),"h")),0)</f>
        <v/>
      </c>
    </row>
    <row r="144">
      <c r="A144" s="6" t="n">
        <v>49</v>
      </c>
      <c r="B144" s="6" t="inlineStr">
        <is>
          <t>下午</t>
        </is>
      </c>
      <c r="C144" s="6">
        <f>IFERROR(TEXTBEFORE('周计划明细'!E49,":"),"")</f>
        <v/>
      </c>
      <c r="D144" s="6">
        <f>IFERROR(VALUE(TEXTBEFORE(TEXTAFTER('周计划明细'!E49,"|"),"h")),0)</f>
        <v/>
      </c>
    </row>
    <row r="145">
      <c r="A145" s="6" t="n">
        <v>49</v>
      </c>
      <c r="B145" s="6" t="inlineStr">
        <is>
          <t>晚上</t>
        </is>
      </c>
      <c r="C145" s="6">
        <f>IFERROR(TEXTBEFORE('周计划明细'!F49,":"),"")</f>
        <v/>
      </c>
      <c r="D145" s="6">
        <f>IFERROR(VALUE(TEXTBEFORE(TEXTAFTER('周计划明细'!F49,"|"),"h")),0)</f>
        <v/>
      </c>
    </row>
    <row r="146">
      <c r="A146" s="6" t="n">
        <v>50</v>
      </c>
      <c r="B146" s="6" t="inlineStr">
        <is>
          <t>上午</t>
        </is>
      </c>
      <c r="C146" s="6">
        <f>IFERROR(TEXTBEFORE('周计划明细'!D50,":"),"")</f>
        <v/>
      </c>
      <c r="D146" s="6">
        <f>IFERROR(VALUE(TEXTBEFORE(TEXTAFTER('周计划明细'!D50,"|"),"h")),0)</f>
        <v/>
      </c>
    </row>
    <row r="147">
      <c r="A147" s="6" t="n">
        <v>50</v>
      </c>
      <c r="B147" s="6" t="inlineStr">
        <is>
          <t>下午</t>
        </is>
      </c>
      <c r="C147" s="6">
        <f>IFERROR(TEXTBEFORE('周计划明细'!E50,":"),"")</f>
        <v/>
      </c>
      <c r="D147" s="6">
        <f>IFERROR(VALUE(TEXTBEFORE(TEXTAFTER('周计划明细'!E50,"|"),"h")),0)</f>
        <v/>
      </c>
    </row>
    <row r="148">
      <c r="A148" s="6" t="n">
        <v>50</v>
      </c>
      <c r="B148" s="6" t="inlineStr">
        <is>
          <t>晚上</t>
        </is>
      </c>
      <c r="C148" s="6">
        <f>IFERROR(TEXTBEFORE('周计划明细'!F50,":"),"")</f>
        <v/>
      </c>
      <c r="D148" s="6">
        <f>IFERROR(VALUE(TEXTBEFORE(TEXTAFTER('周计划明细'!F50,"|"),"h")),0)</f>
        <v/>
      </c>
    </row>
    <row r="149">
      <c r="A149" s="6" t="n">
        <v>51</v>
      </c>
      <c r="B149" s="6" t="inlineStr">
        <is>
          <t>上午</t>
        </is>
      </c>
      <c r="C149" s="6">
        <f>IFERROR(TEXTBEFORE('周计划明细'!D51,":"),"")</f>
        <v/>
      </c>
      <c r="D149" s="6">
        <f>IFERROR(VALUE(TEXTBEFORE(TEXTAFTER('周计划明细'!D51,"|"),"h")),0)</f>
        <v/>
      </c>
    </row>
    <row r="150">
      <c r="A150" s="6" t="n">
        <v>51</v>
      </c>
      <c r="B150" s="6" t="inlineStr">
        <is>
          <t>下午</t>
        </is>
      </c>
      <c r="C150" s="6">
        <f>IFERROR(TEXTBEFORE('周计划明细'!E51,":"),"")</f>
        <v/>
      </c>
      <c r="D150" s="6">
        <f>IFERROR(VALUE(TEXTBEFORE(TEXTAFTER('周计划明细'!E51,"|"),"h")),0)</f>
        <v/>
      </c>
    </row>
    <row r="151">
      <c r="A151" s="6" t="n">
        <v>51</v>
      </c>
      <c r="B151" s="6" t="inlineStr">
        <is>
          <t>晚上</t>
        </is>
      </c>
      <c r="C151" s="6">
        <f>IFERROR(TEXTBEFORE('周计划明细'!F51,":"),"")</f>
        <v/>
      </c>
      <c r="D151" s="6">
        <f>IFERROR(VALUE(TEXTBEFORE(TEXTAFTER('周计划明细'!F51,"|"),"h")),0)</f>
        <v/>
      </c>
    </row>
    <row r="152">
      <c r="A152" s="6" t="n">
        <v>52</v>
      </c>
      <c r="B152" s="6" t="inlineStr">
        <is>
          <t>上午</t>
        </is>
      </c>
      <c r="C152" s="6">
        <f>IFERROR(TEXTBEFORE('周计划明细'!D52,":"),"")</f>
        <v/>
      </c>
      <c r="D152" s="6">
        <f>IFERROR(VALUE(TEXTBEFORE(TEXTAFTER('周计划明细'!D52,"|"),"h")),0)</f>
        <v/>
      </c>
    </row>
    <row r="153">
      <c r="A153" s="6" t="n">
        <v>52</v>
      </c>
      <c r="B153" s="6" t="inlineStr">
        <is>
          <t>下午</t>
        </is>
      </c>
      <c r="C153" s="6">
        <f>IFERROR(TEXTBEFORE('周计划明细'!E52,":"),"")</f>
        <v/>
      </c>
      <c r="D153" s="6">
        <f>IFERROR(VALUE(TEXTBEFORE(TEXTAFTER('周计划明细'!E52,"|"),"h")),0)</f>
        <v/>
      </c>
    </row>
    <row r="154">
      <c r="A154" s="6" t="n">
        <v>52</v>
      </c>
      <c r="B154" s="6" t="inlineStr">
        <is>
          <t>晚上</t>
        </is>
      </c>
      <c r="C154" s="6">
        <f>IFERROR(TEXTBEFORE('周计划明细'!F52,":"),"")</f>
        <v/>
      </c>
      <c r="D154" s="6">
        <f>IFERROR(VALUE(TEXTBEFORE(TEXTAFTER('周计划明细'!F52,"|"),"h")),0)</f>
        <v/>
      </c>
    </row>
    <row r="155">
      <c r="A155" s="6" t="n">
        <v>53</v>
      </c>
      <c r="B155" s="6" t="inlineStr">
        <is>
          <t>上午</t>
        </is>
      </c>
      <c r="C155" s="6">
        <f>IFERROR(TEXTBEFORE('周计划明细'!D53,":"),"")</f>
        <v/>
      </c>
      <c r="D155" s="6">
        <f>IFERROR(VALUE(TEXTBEFORE(TEXTAFTER('周计划明细'!D53,"|"),"h")),0)</f>
        <v/>
      </c>
    </row>
    <row r="156">
      <c r="A156" s="6" t="n">
        <v>53</v>
      </c>
      <c r="B156" s="6" t="inlineStr">
        <is>
          <t>下午</t>
        </is>
      </c>
      <c r="C156" s="6">
        <f>IFERROR(TEXTBEFORE('周计划明细'!E53,":"),"")</f>
        <v/>
      </c>
      <c r="D156" s="6">
        <f>IFERROR(VALUE(TEXTBEFORE(TEXTAFTER('周计划明细'!E53,"|"),"h")),0)</f>
        <v/>
      </c>
    </row>
    <row r="157">
      <c r="A157" s="6" t="n">
        <v>53</v>
      </c>
      <c r="B157" s="6" t="inlineStr">
        <is>
          <t>晚上</t>
        </is>
      </c>
      <c r="C157" s="6">
        <f>IFERROR(TEXTBEFORE('周计划明细'!F53,":"),"")</f>
        <v/>
      </c>
      <c r="D157" s="6">
        <f>IFERROR(VALUE(TEXTBEFORE(TEXTAFTER('周计划明细'!F53,"|"),"h")),0)</f>
        <v/>
      </c>
    </row>
    <row r="158">
      <c r="A158" s="6" t="n">
        <v>54</v>
      </c>
      <c r="B158" s="6" t="inlineStr">
        <is>
          <t>上午</t>
        </is>
      </c>
      <c r="C158" s="6">
        <f>IFERROR(TEXTBEFORE('周计划明细'!D54,":"),"")</f>
        <v/>
      </c>
      <c r="D158" s="6">
        <f>IFERROR(VALUE(TEXTBEFORE(TEXTAFTER('周计划明细'!D54,"|"),"h")),0)</f>
        <v/>
      </c>
    </row>
    <row r="159">
      <c r="A159" s="6" t="n">
        <v>54</v>
      </c>
      <c r="B159" s="6" t="inlineStr">
        <is>
          <t>下午</t>
        </is>
      </c>
      <c r="C159" s="6">
        <f>IFERROR(TEXTBEFORE('周计划明细'!E54,":"),"")</f>
        <v/>
      </c>
      <c r="D159" s="6">
        <f>IFERROR(VALUE(TEXTBEFORE(TEXTAFTER('周计划明细'!E54,"|"),"h")),0)</f>
        <v/>
      </c>
    </row>
    <row r="160">
      <c r="A160" s="6" t="n">
        <v>54</v>
      </c>
      <c r="B160" s="6" t="inlineStr">
        <is>
          <t>晚上</t>
        </is>
      </c>
      <c r="C160" s="6">
        <f>IFERROR(TEXTBEFORE('周计划明细'!F54,":"),"")</f>
        <v/>
      </c>
      <c r="D160" s="6">
        <f>IFERROR(VALUE(TEXTBEFORE(TEXTAFTER('周计划明细'!F54,"|"),"h")),0)</f>
        <v/>
      </c>
    </row>
    <row r="161">
      <c r="A161" s="6" t="n">
        <v>55</v>
      </c>
      <c r="B161" s="6" t="inlineStr">
        <is>
          <t>上午</t>
        </is>
      </c>
      <c r="C161" s="6">
        <f>IFERROR(TEXTBEFORE('周计划明细'!D55,":"),"")</f>
        <v/>
      </c>
      <c r="D161" s="6">
        <f>IFERROR(VALUE(TEXTBEFORE(TEXTAFTER('周计划明细'!D55,"|"),"h")),0)</f>
        <v/>
      </c>
    </row>
    <row r="162">
      <c r="A162" s="6" t="n">
        <v>55</v>
      </c>
      <c r="B162" s="6" t="inlineStr">
        <is>
          <t>下午</t>
        </is>
      </c>
      <c r="C162" s="6">
        <f>IFERROR(TEXTBEFORE('周计划明细'!E55,":"),"")</f>
        <v/>
      </c>
      <c r="D162" s="6">
        <f>IFERROR(VALUE(TEXTBEFORE(TEXTAFTER('周计划明细'!E55,"|"),"h")),0)</f>
        <v/>
      </c>
    </row>
    <row r="163">
      <c r="A163" s="6" t="n">
        <v>55</v>
      </c>
      <c r="B163" s="6" t="inlineStr">
        <is>
          <t>晚上</t>
        </is>
      </c>
      <c r="C163" s="6">
        <f>IFERROR(TEXTBEFORE('周计划明细'!F55,":"),"")</f>
        <v/>
      </c>
      <c r="D163" s="6">
        <f>IFERROR(VALUE(TEXTBEFORE(TEXTAFTER('周计划明细'!F55,"|"),"h")),0)</f>
        <v/>
      </c>
    </row>
    <row r="164">
      <c r="A164" s="6" t="n">
        <v>56</v>
      </c>
      <c r="B164" s="6" t="inlineStr">
        <is>
          <t>上午</t>
        </is>
      </c>
      <c r="C164" s="6">
        <f>IFERROR(TEXTBEFORE('周计划明细'!D56,":"),"")</f>
        <v/>
      </c>
      <c r="D164" s="6">
        <f>IFERROR(VALUE(TEXTBEFORE(TEXTAFTER('周计划明细'!D56,"|"),"h")),0)</f>
        <v/>
      </c>
    </row>
    <row r="165">
      <c r="A165" s="6" t="n">
        <v>56</v>
      </c>
      <c r="B165" s="6" t="inlineStr">
        <is>
          <t>下午</t>
        </is>
      </c>
      <c r="C165" s="6">
        <f>IFERROR(TEXTBEFORE('周计划明细'!E56,":"),"")</f>
        <v/>
      </c>
      <c r="D165" s="6">
        <f>IFERROR(VALUE(TEXTBEFORE(TEXTAFTER('周计划明细'!E56,"|"),"h")),0)</f>
        <v/>
      </c>
    </row>
    <row r="166">
      <c r="A166" s="6" t="n">
        <v>56</v>
      </c>
      <c r="B166" s="6" t="inlineStr">
        <is>
          <t>晚上</t>
        </is>
      </c>
      <c r="C166" s="6">
        <f>IFERROR(TEXTBEFORE('周计划明细'!F56,":"),"")</f>
        <v/>
      </c>
      <c r="D166" s="6">
        <f>IFERROR(VALUE(TEXTBEFORE(TEXTAFTER('周计划明细'!F56,"|"),"h")),0)</f>
        <v/>
      </c>
    </row>
    <row r="167">
      <c r="A167" s="6" t="n">
        <v>57</v>
      </c>
      <c r="B167" s="6" t="inlineStr">
        <is>
          <t>上午</t>
        </is>
      </c>
      <c r="C167" s="6">
        <f>IFERROR(TEXTBEFORE('周计划明细'!D57,":"),"")</f>
        <v/>
      </c>
      <c r="D167" s="6">
        <f>IFERROR(VALUE(TEXTBEFORE(TEXTAFTER('周计划明细'!D57,"|"),"h")),0)</f>
        <v/>
      </c>
    </row>
    <row r="168">
      <c r="A168" s="6" t="n">
        <v>57</v>
      </c>
      <c r="B168" s="6" t="inlineStr">
        <is>
          <t>下午</t>
        </is>
      </c>
      <c r="C168" s="6">
        <f>IFERROR(TEXTBEFORE('周计划明细'!E57,":"),"")</f>
        <v/>
      </c>
      <c r="D168" s="6">
        <f>IFERROR(VALUE(TEXTBEFORE(TEXTAFTER('周计划明细'!E57,"|"),"h")),0)</f>
        <v/>
      </c>
    </row>
    <row r="169">
      <c r="A169" s="6" t="n">
        <v>57</v>
      </c>
      <c r="B169" s="6" t="inlineStr">
        <is>
          <t>晚上</t>
        </is>
      </c>
      <c r="C169" s="6">
        <f>IFERROR(TEXTBEFORE('周计划明细'!F57,":"),"")</f>
        <v/>
      </c>
      <c r="D169" s="6">
        <f>IFERROR(VALUE(TEXTBEFORE(TEXTAFTER('周计划明细'!F57,"|"),"h")),0)</f>
        <v/>
      </c>
    </row>
    <row r="170">
      <c r="A170" s="6" t="n">
        <v>58</v>
      </c>
      <c r="B170" s="6" t="inlineStr">
        <is>
          <t>上午</t>
        </is>
      </c>
      <c r="C170" s="6">
        <f>IFERROR(TEXTBEFORE('周计划明细'!D58,":"),"")</f>
        <v/>
      </c>
      <c r="D170" s="6">
        <f>IFERROR(VALUE(TEXTBEFORE(TEXTAFTER('周计划明细'!D58,"|"),"h")),0)</f>
        <v/>
      </c>
    </row>
    <row r="171">
      <c r="A171" s="6" t="n">
        <v>58</v>
      </c>
      <c r="B171" s="6" t="inlineStr">
        <is>
          <t>下午</t>
        </is>
      </c>
      <c r="C171" s="6">
        <f>IFERROR(TEXTBEFORE('周计划明细'!E58,":"),"")</f>
        <v/>
      </c>
      <c r="D171" s="6">
        <f>IFERROR(VALUE(TEXTBEFORE(TEXTAFTER('周计划明细'!E58,"|"),"h")),0)</f>
        <v/>
      </c>
    </row>
    <row r="172">
      <c r="A172" s="6" t="n">
        <v>58</v>
      </c>
      <c r="B172" s="6" t="inlineStr">
        <is>
          <t>晚上</t>
        </is>
      </c>
      <c r="C172" s="6">
        <f>IFERROR(TEXTBEFORE('周计划明细'!F58,":"),"")</f>
        <v/>
      </c>
      <c r="D172" s="6">
        <f>IFERROR(VALUE(TEXTBEFORE(TEXTAFTER('周计划明细'!F58,"|"),"h")),0)</f>
        <v/>
      </c>
    </row>
    <row r="173">
      <c r="A173" s="6" t="n">
        <v>59</v>
      </c>
      <c r="B173" s="6" t="inlineStr">
        <is>
          <t>上午</t>
        </is>
      </c>
      <c r="C173" s="6">
        <f>IFERROR(TEXTBEFORE('周计划明细'!D59,":"),"")</f>
        <v/>
      </c>
      <c r="D173" s="6">
        <f>IFERROR(VALUE(TEXTBEFORE(TEXTAFTER('周计划明细'!D59,"|"),"h")),0)</f>
        <v/>
      </c>
    </row>
    <row r="174">
      <c r="A174" s="6" t="n">
        <v>59</v>
      </c>
      <c r="B174" s="6" t="inlineStr">
        <is>
          <t>下午</t>
        </is>
      </c>
      <c r="C174" s="6">
        <f>IFERROR(TEXTBEFORE('周计划明细'!E59,":"),"")</f>
        <v/>
      </c>
      <c r="D174" s="6">
        <f>IFERROR(VALUE(TEXTBEFORE(TEXTAFTER('周计划明细'!E59,"|"),"h")),0)</f>
        <v/>
      </c>
    </row>
    <row r="175">
      <c r="A175" s="6" t="n">
        <v>59</v>
      </c>
      <c r="B175" s="6" t="inlineStr">
        <is>
          <t>晚上</t>
        </is>
      </c>
      <c r="C175" s="6">
        <f>IFERROR(TEXTBEFORE('周计划明细'!F59,":"),"")</f>
        <v/>
      </c>
      <c r="D175" s="6">
        <f>IFERROR(VALUE(TEXTBEFORE(TEXTAFTER('周计划明细'!F59,"|"),"h")),0)</f>
        <v/>
      </c>
    </row>
    <row r="176">
      <c r="A176" s="6" t="n">
        <v>60</v>
      </c>
      <c r="B176" s="6" t="inlineStr">
        <is>
          <t>上午</t>
        </is>
      </c>
      <c r="C176" s="6">
        <f>IFERROR(TEXTBEFORE('周计划明细'!D60,":"),"")</f>
        <v/>
      </c>
      <c r="D176" s="6">
        <f>IFERROR(VALUE(TEXTBEFORE(TEXTAFTER('周计划明细'!D60,"|"),"h")),0)</f>
        <v/>
      </c>
    </row>
    <row r="177">
      <c r="A177" s="6" t="n">
        <v>60</v>
      </c>
      <c r="B177" s="6" t="inlineStr">
        <is>
          <t>下午</t>
        </is>
      </c>
      <c r="C177" s="6">
        <f>IFERROR(TEXTBEFORE('周计划明细'!E60,":"),"")</f>
        <v/>
      </c>
      <c r="D177" s="6">
        <f>IFERROR(VALUE(TEXTBEFORE(TEXTAFTER('周计划明细'!E60,"|"),"h")),0)</f>
        <v/>
      </c>
    </row>
    <row r="178">
      <c r="A178" s="6" t="n">
        <v>60</v>
      </c>
      <c r="B178" s="6" t="inlineStr">
        <is>
          <t>晚上</t>
        </is>
      </c>
      <c r="C178" s="6">
        <f>IFERROR(TEXTBEFORE('周计划明细'!F60,":"),"")</f>
        <v/>
      </c>
      <c r="D178" s="6">
        <f>IFERROR(VALUE(TEXTBEFORE(TEXTAFTER('周计划明细'!F60,"|"),"h")),0)</f>
        <v/>
      </c>
    </row>
    <row r="179">
      <c r="A179" s="6" t="n">
        <v>61</v>
      </c>
      <c r="B179" s="6" t="inlineStr">
        <is>
          <t>上午</t>
        </is>
      </c>
      <c r="C179" s="6">
        <f>IFERROR(TEXTBEFORE('周计划明细'!D61,":"),"")</f>
        <v/>
      </c>
      <c r="D179" s="6">
        <f>IFERROR(VALUE(TEXTBEFORE(TEXTAFTER('周计划明细'!D61,"|"),"h")),0)</f>
        <v/>
      </c>
    </row>
    <row r="180">
      <c r="A180" s="6" t="n">
        <v>61</v>
      </c>
      <c r="B180" s="6" t="inlineStr">
        <is>
          <t>下午</t>
        </is>
      </c>
      <c r="C180" s="6">
        <f>IFERROR(TEXTBEFORE('周计划明细'!E61,":"),"")</f>
        <v/>
      </c>
      <c r="D180" s="6">
        <f>IFERROR(VALUE(TEXTBEFORE(TEXTAFTER('周计划明细'!E61,"|"),"h")),0)</f>
        <v/>
      </c>
    </row>
    <row r="181">
      <c r="A181" s="6" t="n">
        <v>61</v>
      </c>
      <c r="B181" s="6" t="inlineStr">
        <is>
          <t>晚上</t>
        </is>
      </c>
      <c r="C181" s="6">
        <f>IFERROR(TEXTBEFORE('周计划明细'!F61,":"),"")</f>
        <v/>
      </c>
      <c r="D181" s="6">
        <f>IFERROR(VALUE(TEXTBEFORE(TEXTAFTER('周计划明细'!F61,"|"),"h")),0)</f>
        <v/>
      </c>
    </row>
    <row r="182">
      <c r="A182" s="6" t="n">
        <v>62</v>
      </c>
      <c r="B182" s="6" t="inlineStr">
        <is>
          <t>上午</t>
        </is>
      </c>
      <c r="C182" s="6">
        <f>IFERROR(TEXTBEFORE('周计划明细'!D62,":"),"")</f>
        <v/>
      </c>
      <c r="D182" s="6">
        <f>IFERROR(VALUE(TEXTBEFORE(TEXTAFTER('周计划明细'!D62,"|"),"h")),0)</f>
        <v/>
      </c>
    </row>
    <row r="183">
      <c r="A183" s="6" t="n">
        <v>62</v>
      </c>
      <c r="B183" s="6" t="inlineStr">
        <is>
          <t>下午</t>
        </is>
      </c>
      <c r="C183" s="6">
        <f>IFERROR(TEXTBEFORE('周计划明细'!E62,":"),"")</f>
        <v/>
      </c>
      <c r="D183" s="6">
        <f>IFERROR(VALUE(TEXTBEFORE(TEXTAFTER('周计划明细'!E62,"|"),"h")),0)</f>
        <v/>
      </c>
    </row>
    <row r="184">
      <c r="A184" s="6" t="n">
        <v>62</v>
      </c>
      <c r="B184" s="6" t="inlineStr">
        <is>
          <t>晚上</t>
        </is>
      </c>
      <c r="C184" s="6">
        <f>IFERROR(TEXTBEFORE('周计划明细'!F62,":"),"")</f>
        <v/>
      </c>
      <c r="D184" s="6">
        <f>IFERROR(VALUE(TEXTBEFORE(TEXTAFTER('周计划明细'!F62,"|"),"h")),0)</f>
        <v/>
      </c>
    </row>
    <row r="185">
      <c r="A185" s="6" t="n">
        <v>63</v>
      </c>
      <c r="B185" s="6" t="inlineStr">
        <is>
          <t>上午</t>
        </is>
      </c>
      <c r="C185" s="6">
        <f>IFERROR(TEXTBEFORE('周计划明细'!D63,":"),"")</f>
        <v/>
      </c>
      <c r="D185" s="6">
        <f>IFERROR(VALUE(TEXTBEFORE(TEXTAFTER('周计划明细'!D63,"|"),"h")),0)</f>
        <v/>
      </c>
    </row>
    <row r="186">
      <c r="A186" s="6" t="n">
        <v>63</v>
      </c>
      <c r="B186" s="6" t="inlineStr">
        <is>
          <t>下午</t>
        </is>
      </c>
      <c r="C186" s="6">
        <f>IFERROR(TEXTBEFORE('周计划明细'!E63,":"),"")</f>
        <v/>
      </c>
      <c r="D186" s="6">
        <f>IFERROR(VALUE(TEXTBEFORE(TEXTAFTER('周计划明细'!E63,"|"),"h")),0)</f>
        <v/>
      </c>
    </row>
    <row r="187">
      <c r="A187" s="6" t="n">
        <v>63</v>
      </c>
      <c r="B187" s="6" t="inlineStr">
        <is>
          <t>晚上</t>
        </is>
      </c>
      <c r="C187" s="6">
        <f>IFERROR(TEXTBEFORE('周计划明细'!F63,":"),"")</f>
        <v/>
      </c>
      <c r="D187" s="6">
        <f>IFERROR(VALUE(TEXTBEFORE(TEXTAFTER('周计划明细'!F63,"|"),"h")),0)</f>
        <v/>
      </c>
    </row>
    <row r="188">
      <c r="A188" s="6" t="n">
        <v>64</v>
      </c>
      <c r="B188" s="6" t="inlineStr">
        <is>
          <t>上午</t>
        </is>
      </c>
      <c r="C188" s="6">
        <f>IFERROR(TEXTBEFORE('周计划明细'!D64,":"),"")</f>
        <v/>
      </c>
      <c r="D188" s="6">
        <f>IFERROR(VALUE(TEXTBEFORE(TEXTAFTER('周计划明细'!D64,"|"),"h")),0)</f>
        <v/>
      </c>
    </row>
    <row r="189">
      <c r="A189" s="6" t="n">
        <v>64</v>
      </c>
      <c r="B189" s="6" t="inlineStr">
        <is>
          <t>下午</t>
        </is>
      </c>
      <c r="C189" s="6">
        <f>IFERROR(TEXTBEFORE('周计划明细'!E64,":"),"")</f>
        <v/>
      </c>
      <c r="D189" s="6">
        <f>IFERROR(VALUE(TEXTBEFORE(TEXTAFTER('周计划明细'!E64,"|"),"h")),0)</f>
        <v/>
      </c>
    </row>
    <row r="190">
      <c r="A190" s="6" t="n">
        <v>64</v>
      </c>
      <c r="B190" s="6" t="inlineStr">
        <is>
          <t>晚上</t>
        </is>
      </c>
      <c r="C190" s="6">
        <f>IFERROR(TEXTBEFORE('周计划明细'!F64,":"),"")</f>
        <v/>
      </c>
      <c r="D190" s="6">
        <f>IFERROR(VALUE(TEXTBEFORE(TEXTAFTER('周计划明细'!F64,"|"),"h")),0)</f>
        <v/>
      </c>
    </row>
    <row r="191">
      <c r="A191" s="6" t="n">
        <v>65</v>
      </c>
      <c r="B191" s="6" t="inlineStr">
        <is>
          <t>上午</t>
        </is>
      </c>
      <c r="C191" s="6">
        <f>IFERROR(TEXTBEFORE('周计划明细'!D65,":"),"")</f>
        <v/>
      </c>
      <c r="D191" s="6">
        <f>IFERROR(VALUE(TEXTBEFORE(TEXTAFTER('周计划明细'!D65,"|"),"h")),0)</f>
        <v/>
      </c>
    </row>
    <row r="192">
      <c r="A192" s="6" t="n">
        <v>65</v>
      </c>
      <c r="B192" s="6" t="inlineStr">
        <is>
          <t>下午</t>
        </is>
      </c>
      <c r="C192" s="6">
        <f>IFERROR(TEXTBEFORE('周计划明细'!E65,":"),"")</f>
        <v/>
      </c>
      <c r="D192" s="6">
        <f>IFERROR(VALUE(TEXTBEFORE(TEXTAFTER('周计划明细'!E65,"|"),"h")),0)</f>
        <v/>
      </c>
    </row>
    <row r="193">
      <c r="A193" s="6" t="n">
        <v>65</v>
      </c>
      <c r="B193" s="6" t="inlineStr">
        <is>
          <t>晚上</t>
        </is>
      </c>
      <c r="C193" s="6">
        <f>IFERROR(TEXTBEFORE('周计划明细'!F65,":"),"")</f>
        <v/>
      </c>
      <c r="D193" s="6">
        <f>IFERROR(VALUE(TEXTBEFORE(TEXTAFTER('周计划明细'!F65,"|"),"h")),0)</f>
        <v/>
      </c>
    </row>
    <row r="194">
      <c r="A194" s="6" t="n">
        <v>66</v>
      </c>
      <c r="B194" s="6" t="inlineStr">
        <is>
          <t>上午</t>
        </is>
      </c>
      <c r="C194" s="6">
        <f>IFERROR(TEXTBEFORE('周计划明细'!D66,":"),"")</f>
        <v/>
      </c>
      <c r="D194" s="6">
        <f>IFERROR(VALUE(TEXTBEFORE(TEXTAFTER('周计划明细'!D66,"|"),"h")),0)</f>
        <v/>
      </c>
    </row>
    <row r="195">
      <c r="A195" s="6" t="n">
        <v>66</v>
      </c>
      <c r="B195" s="6" t="inlineStr">
        <is>
          <t>下午</t>
        </is>
      </c>
      <c r="C195" s="6">
        <f>IFERROR(TEXTBEFORE('周计划明细'!E66,":"),"")</f>
        <v/>
      </c>
      <c r="D195" s="6">
        <f>IFERROR(VALUE(TEXTBEFORE(TEXTAFTER('周计划明细'!E66,"|"),"h")),0)</f>
        <v/>
      </c>
    </row>
    <row r="196">
      <c r="A196" s="6" t="n">
        <v>66</v>
      </c>
      <c r="B196" s="6" t="inlineStr">
        <is>
          <t>晚上</t>
        </is>
      </c>
      <c r="C196" s="6">
        <f>IFERROR(TEXTBEFORE('周计划明细'!F66,":"),"")</f>
        <v/>
      </c>
      <c r="D196" s="6">
        <f>IFERROR(VALUE(TEXTBEFORE(TEXTAFTER('周计划明细'!F66,"|"),"h")),0)</f>
        <v/>
      </c>
    </row>
    <row r="197">
      <c r="A197" s="6" t="n">
        <v>67</v>
      </c>
      <c r="B197" s="6" t="inlineStr">
        <is>
          <t>上午</t>
        </is>
      </c>
      <c r="C197" s="6">
        <f>IFERROR(TEXTBEFORE('周计划明细'!D67,":"),"")</f>
        <v/>
      </c>
      <c r="D197" s="6">
        <f>IFERROR(VALUE(TEXTBEFORE(TEXTAFTER('周计划明细'!D67,"|"),"h")),0)</f>
        <v/>
      </c>
    </row>
    <row r="198">
      <c r="A198" s="6" t="n">
        <v>67</v>
      </c>
      <c r="B198" s="6" t="inlineStr">
        <is>
          <t>下午</t>
        </is>
      </c>
      <c r="C198" s="6">
        <f>IFERROR(TEXTBEFORE('周计划明细'!E67,":"),"")</f>
        <v/>
      </c>
      <c r="D198" s="6">
        <f>IFERROR(VALUE(TEXTBEFORE(TEXTAFTER('周计划明细'!E67,"|"),"h")),0)</f>
        <v/>
      </c>
    </row>
    <row r="199">
      <c r="A199" s="6" t="n">
        <v>67</v>
      </c>
      <c r="B199" s="6" t="inlineStr">
        <is>
          <t>晚上</t>
        </is>
      </c>
      <c r="C199" s="6">
        <f>IFERROR(TEXTBEFORE('周计划明细'!F67,":"),"")</f>
        <v/>
      </c>
      <c r="D199" s="6">
        <f>IFERROR(VALUE(TEXTBEFORE(TEXTAFTER('周计划明细'!F67,"|"),"h")),0)</f>
        <v/>
      </c>
    </row>
    <row r="200">
      <c r="A200" s="6" t="n">
        <v>68</v>
      </c>
      <c r="B200" s="6" t="inlineStr">
        <is>
          <t>上午</t>
        </is>
      </c>
      <c r="C200" s="6">
        <f>IFERROR(TEXTBEFORE('周计划明细'!D68,":"),"")</f>
        <v/>
      </c>
      <c r="D200" s="6">
        <f>IFERROR(VALUE(TEXTBEFORE(TEXTAFTER('周计划明细'!D68,"|"),"h")),0)</f>
        <v/>
      </c>
    </row>
    <row r="201">
      <c r="A201" s="6" t="n">
        <v>68</v>
      </c>
      <c r="B201" s="6" t="inlineStr">
        <is>
          <t>下午</t>
        </is>
      </c>
      <c r="C201" s="6">
        <f>IFERROR(TEXTBEFORE('周计划明细'!E68,":"),"")</f>
        <v/>
      </c>
      <c r="D201" s="6">
        <f>IFERROR(VALUE(TEXTBEFORE(TEXTAFTER('周计划明细'!E68,"|"),"h")),0)</f>
        <v/>
      </c>
    </row>
    <row r="202">
      <c r="A202" s="6" t="n">
        <v>68</v>
      </c>
      <c r="B202" s="6" t="inlineStr">
        <is>
          <t>晚上</t>
        </is>
      </c>
      <c r="C202" s="6">
        <f>IFERROR(TEXTBEFORE('周计划明细'!F68,":"),"")</f>
        <v/>
      </c>
      <c r="D202" s="6">
        <f>IFERROR(VALUE(TEXTBEFORE(TEXTAFTER('周计划明细'!F68,"|"),"h")),0)</f>
        <v/>
      </c>
    </row>
    <row r="203">
      <c r="A203" s="6" t="n">
        <v>69</v>
      </c>
      <c r="B203" s="6" t="inlineStr">
        <is>
          <t>上午</t>
        </is>
      </c>
      <c r="C203" s="6">
        <f>IFERROR(TEXTBEFORE('周计划明细'!D69,":"),"")</f>
        <v/>
      </c>
      <c r="D203" s="6">
        <f>IFERROR(VALUE(TEXTBEFORE(TEXTAFTER('周计划明细'!D69,"|"),"h")),0)</f>
        <v/>
      </c>
    </row>
    <row r="204">
      <c r="A204" s="6" t="n">
        <v>69</v>
      </c>
      <c r="B204" s="6" t="inlineStr">
        <is>
          <t>下午</t>
        </is>
      </c>
      <c r="C204" s="6">
        <f>IFERROR(TEXTBEFORE('周计划明细'!E69,":"),"")</f>
        <v/>
      </c>
      <c r="D204" s="6">
        <f>IFERROR(VALUE(TEXTBEFORE(TEXTAFTER('周计划明细'!E69,"|"),"h")),0)</f>
        <v/>
      </c>
    </row>
    <row r="205">
      <c r="A205" s="6" t="n">
        <v>69</v>
      </c>
      <c r="B205" s="6" t="inlineStr">
        <is>
          <t>晚上</t>
        </is>
      </c>
      <c r="C205" s="6">
        <f>IFERROR(TEXTBEFORE('周计划明细'!F69,":"),"")</f>
        <v/>
      </c>
      <c r="D205" s="6">
        <f>IFERROR(VALUE(TEXTBEFORE(TEXTAFTER('周计划明细'!F69,"|"),"h")),0)</f>
        <v/>
      </c>
    </row>
    <row r="206">
      <c r="A206" s="6" t="n">
        <v>70</v>
      </c>
      <c r="B206" s="6" t="inlineStr">
        <is>
          <t>上午</t>
        </is>
      </c>
      <c r="C206" s="6">
        <f>IFERROR(TEXTBEFORE('周计划明细'!D70,":"),"")</f>
        <v/>
      </c>
      <c r="D206" s="6">
        <f>IFERROR(VALUE(TEXTBEFORE(TEXTAFTER('周计划明细'!D70,"|"),"h")),0)</f>
        <v/>
      </c>
    </row>
    <row r="207">
      <c r="A207" s="6" t="n">
        <v>70</v>
      </c>
      <c r="B207" s="6" t="inlineStr">
        <is>
          <t>下午</t>
        </is>
      </c>
      <c r="C207" s="6">
        <f>IFERROR(TEXTBEFORE('周计划明细'!E70,":"),"")</f>
        <v/>
      </c>
      <c r="D207" s="6">
        <f>IFERROR(VALUE(TEXTBEFORE(TEXTAFTER('周计划明细'!E70,"|"),"h")),0)</f>
        <v/>
      </c>
    </row>
    <row r="208">
      <c r="A208" s="6" t="n">
        <v>70</v>
      </c>
      <c r="B208" s="6" t="inlineStr">
        <is>
          <t>晚上</t>
        </is>
      </c>
      <c r="C208" s="6">
        <f>IFERROR(TEXTBEFORE('周计划明细'!F70,":"),"")</f>
        <v/>
      </c>
      <c r="D208" s="6">
        <f>IFERROR(VALUE(TEXTBEFORE(TEXTAFTER('周计划明细'!F70,"|"),"h")),0)</f>
        <v/>
      </c>
    </row>
    <row r="209">
      <c r="A209" s="6" t="n">
        <v>71</v>
      </c>
      <c r="B209" s="6" t="inlineStr">
        <is>
          <t>上午</t>
        </is>
      </c>
      <c r="C209" s="6">
        <f>IFERROR(TEXTBEFORE('周计划明细'!D71,":"),"")</f>
        <v/>
      </c>
      <c r="D209" s="6">
        <f>IFERROR(VALUE(TEXTBEFORE(TEXTAFTER('周计划明细'!D71,"|"),"h")),0)</f>
        <v/>
      </c>
    </row>
    <row r="210">
      <c r="A210" s="6" t="n">
        <v>71</v>
      </c>
      <c r="B210" s="6" t="inlineStr">
        <is>
          <t>下午</t>
        </is>
      </c>
      <c r="C210" s="6">
        <f>IFERROR(TEXTBEFORE('周计划明细'!E71,":"),"")</f>
        <v/>
      </c>
      <c r="D210" s="6">
        <f>IFERROR(VALUE(TEXTBEFORE(TEXTAFTER('周计划明细'!E71,"|"),"h")),0)</f>
        <v/>
      </c>
    </row>
    <row r="211">
      <c r="A211" s="6" t="n">
        <v>71</v>
      </c>
      <c r="B211" s="6" t="inlineStr">
        <is>
          <t>晚上</t>
        </is>
      </c>
      <c r="C211" s="6">
        <f>IFERROR(TEXTBEFORE('周计划明细'!F71,":"),"")</f>
        <v/>
      </c>
      <c r="D211" s="6">
        <f>IFERROR(VALUE(TEXTBEFORE(TEXTAFTER('周计划明细'!F71,"|"),"h")),0)</f>
        <v/>
      </c>
    </row>
    <row r="212">
      <c r="A212" s="6" t="n">
        <v>72</v>
      </c>
      <c r="B212" s="6" t="inlineStr">
        <is>
          <t>上午</t>
        </is>
      </c>
      <c r="C212" s="6">
        <f>IFERROR(TEXTBEFORE('周计划明细'!D72,":"),"")</f>
        <v/>
      </c>
      <c r="D212" s="6">
        <f>IFERROR(VALUE(TEXTBEFORE(TEXTAFTER('周计划明细'!D72,"|"),"h")),0)</f>
        <v/>
      </c>
    </row>
    <row r="213">
      <c r="A213" s="6" t="n">
        <v>72</v>
      </c>
      <c r="B213" s="6" t="inlineStr">
        <is>
          <t>下午</t>
        </is>
      </c>
      <c r="C213" s="6">
        <f>IFERROR(TEXTBEFORE('周计划明细'!E72,":"),"")</f>
        <v/>
      </c>
      <c r="D213" s="6">
        <f>IFERROR(VALUE(TEXTBEFORE(TEXTAFTER('周计划明细'!E72,"|"),"h")),0)</f>
        <v/>
      </c>
    </row>
    <row r="214">
      <c r="A214" s="6" t="n">
        <v>72</v>
      </c>
      <c r="B214" s="6" t="inlineStr">
        <is>
          <t>晚上</t>
        </is>
      </c>
      <c r="C214" s="6">
        <f>IFERROR(TEXTBEFORE('周计划明细'!F72,":"),"")</f>
        <v/>
      </c>
      <c r="D214" s="6">
        <f>IFERROR(VALUE(TEXTBEFORE(TEXTAFTER('周计划明细'!F72,"|"),"h")),0)</f>
        <v/>
      </c>
    </row>
    <row r="215">
      <c r="A215" s="6" t="n">
        <v>73</v>
      </c>
      <c r="B215" s="6" t="inlineStr">
        <is>
          <t>上午</t>
        </is>
      </c>
      <c r="C215" s="6">
        <f>IFERROR(TEXTBEFORE('周计划明细'!D73,":"),"")</f>
        <v/>
      </c>
      <c r="D215" s="6">
        <f>IFERROR(VALUE(TEXTBEFORE(TEXTAFTER('周计划明细'!D73,"|"),"h")),0)</f>
        <v/>
      </c>
    </row>
    <row r="216">
      <c r="A216" s="6" t="n">
        <v>73</v>
      </c>
      <c r="B216" s="6" t="inlineStr">
        <is>
          <t>下午</t>
        </is>
      </c>
      <c r="C216" s="6">
        <f>IFERROR(TEXTBEFORE('周计划明细'!E73,":"),"")</f>
        <v/>
      </c>
      <c r="D216" s="6">
        <f>IFERROR(VALUE(TEXTBEFORE(TEXTAFTER('周计划明细'!E73,"|"),"h")),0)</f>
        <v/>
      </c>
    </row>
    <row r="217">
      <c r="A217" s="6" t="n">
        <v>73</v>
      </c>
      <c r="B217" s="6" t="inlineStr">
        <is>
          <t>晚上</t>
        </is>
      </c>
      <c r="C217" s="6">
        <f>IFERROR(TEXTBEFORE('周计划明细'!F73,":"),"")</f>
        <v/>
      </c>
      <c r="D217" s="6">
        <f>IFERROR(VALUE(TEXTBEFORE(TEXTAFTER('周计划明细'!F73,"|"),"h")),0)</f>
        <v/>
      </c>
    </row>
    <row r="218">
      <c r="A218" s="6" t="n">
        <v>74</v>
      </c>
      <c r="B218" s="6" t="inlineStr">
        <is>
          <t>上午</t>
        </is>
      </c>
      <c r="C218" s="6">
        <f>IFERROR(TEXTBEFORE('周计划明细'!D74,":"),"")</f>
        <v/>
      </c>
      <c r="D218" s="6">
        <f>IFERROR(VALUE(TEXTBEFORE(TEXTAFTER('周计划明细'!D74,"|"),"h")),0)</f>
        <v/>
      </c>
    </row>
    <row r="219">
      <c r="A219" s="6" t="n">
        <v>74</v>
      </c>
      <c r="B219" s="6" t="inlineStr">
        <is>
          <t>下午</t>
        </is>
      </c>
      <c r="C219" s="6">
        <f>IFERROR(TEXTBEFORE('周计划明细'!E74,":"),"")</f>
        <v/>
      </c>
      <c r="D219" s="6">
        <f>IFERROR(VALUE(TEXTBEFORE(TEXTAFTER('周计划明细'!E74,"|"),"h")),0)</f>
        <v/>
      </c>
    </row>
    <row r="220">
      <c r="A220" s="6" t="n">
        <v>74</v>
      </c>
      <c r="B220" s="6" t="inlineStr">
        <is>
          <t>晚上</t>
        </is>
      </c>
      <c r="C220" s="6">
        <f>IFERROR(TEXTBEFORE('周计划明细'!F74,":"),"")</f>
        <v/>
      </c>
      <c r="D220" s="6">
        <f>IFERROR(VALUE(TEXTBEFORE(TEXTAFTER('周计划明细'!F74,"|"),"h")),0)</f>
        <v/>
      </c>
    </row>
    <row r="221">
      <c r="A221" s="6" t="n">
        <v>75</v>
      </c>
      <c r="B221" s="6" t="inlineStr">
        <is>
          <t>上午</t>
        </is>
      </c>
      <c r="C221" s="6">
        <f>IFERROR(TEXTBEFORE('周计划明细'!D75,":"),"")</f>
        <v/>
      </c>
      <c r="D221" s="6">
        <f>IFERROR(VALUE(TEXTBEFORE(TEXTAFTER('周计划明细'!D75,"|"),"h")),0)</f>
        <v/>
      </c>
    </row>
    <row r="222">
      <c r="A222" s="6" t="n">
        <v>75</v>
      </c>
      <c r="B222" s="6" t="inlineStr">
        <is>
          <t>下午</t>
        </is>
      </c>
      <c r="C222" s="6">
        <f>IFERROR(TEXTBEFORE('周计划明细'!E75,":"),"")</f>
        <v/>
      </c>
      <c r="D222" s="6">
        <f>IFERROR(VALUE(TEXTBEFORE(TEXTAFTER('周计划明细'!E75,"|"),"h")),0)</f>
        <v/>
      </c>
    </row>
    <row r="223">
      <c r="A223" s="6" t="n">
        <v>75</v>
      </c>
      <c r="B223" s="6" t="inlineStr">
        <is>
          <t>晚上</t>
        </is>
      </c>
      <c r="C223" s="6">
        <f>IFERROR(TEXTBEFORE('周计划明细'!F75,":"),"")</f>
        <v/>
      </c>
      <c r="D223" s="6">
        <f>IFERROR(VALUE(TEXTBEFORE(TEXTAFTER('周计划明细'!F75,"|"),"h")),0)</f>
        <v/>
      </c>
    </row>
    <row r="224">
      <c r="A224" s="6" t="n">
        <v>76</v>
      </c>
      <c r="B224" s="6" t="inlineStr">
        <is>
          <t>上午</t>
        </is>
      </c>
      <c r="C224" s="6">
        <f>IFERROR(TEXTBEFORE('周计划明细'!D76,":"),"")</f>
        <v/>
      </c>
      <c r="D224" s="6">
        <f>IFERROR(VALUE(TEXTBEFORE(TEXTAFTER('周计划明细'!D76,"|"),"h")),0)</f>
        <v/>
      </c>
    </row>
    <row r="225">
      <c r="A225" s="6" t="n">
        <v>76</v>
      </c>
      <c r="B225" s="6" t="inlineStr">
        <is>
          <t>下午</t>
        </is>
      </c>
      <c r="C225" s="6">
        <f>IFERROR(TEXTBEFORE('周计划明细'!E76,":"),"")</f>
        <v/>
      </c>
      <c r="D225" s="6">
        <f>IFERROR(VALUE(TEXTBEFORE(TEXTAFTER('周计划明细'!E76,"|"),"h")),0)</f>
        <v/>
      </c>
    </row>
    <row r="226">
      <c r="A226" s="6" t="n">
        <v>76</v>
      </c>
      <c r="B226" s="6" t="inlineStr">
        <is>
          <t>晚上</t>
        </is>
      </c>
      <c r="C226" s="6">
        <f>IFERROR(TEXTBEFORE('周计划明细'!F76,":"),"")</f>
        <v/>
      </c>
      <c r="D226" s="6">
        <f>IFERROR(VALUE(TEXTBEFORE(TEXTAFTER('周计划明细'!F76,"|"),"h")),0)</f>
        <v/>
      </c>
    </row>
    <row r="227">
      <c r="A227" s="6" t="n">
        <v>77</v>
      </c>
      <c r="B227" s="6" t="inlineStr">
        <is>
          <t>上午</t>
        </is>
      </c>
      <c r="C227" s="6">
        <f>IFERROR(TEXTBEFORE('周计划明细'!D77,":"),"")</f>
        <v/>
      </c>
      <c r="D227" s="6">
        <f>IFERROR(VALUE(TEXTBEFORE(TEXTAFTER('周计划明细'!D77,"|"),"h")),0)</f>
        <v/>
      </c>
    </row>
    <row r="228">
      <c r="A228" s="6" t="n">
        <v>77</v>
      </c>
      <c r="B228" s="6" t="inlineStr">
        <is>
          <t>下午</t>
        </is>
      </c>
      <c r="C228" s="6">
        <f>IFERROR(TEXTBEFORE('周计划明细'!E77,":"),"")</f>
        <v/>
      </c>
      <c r="D228" s="6">
        <f>IFERROR(VALUE(TEXTBEFORE(TEXTAFTER('周计划明细'!E77,"|"),"h")),0)</f>
        <v/>
      </c>
    </row>
    <row r="229">
      <c r="A229" s="6" t="n">
        <v>77</v>
      </c>
      <c r="B229" s="6" t="inlineStr">
        <is>
          <t>晚上</t>
        </is>
      </c>
      <c r="C229" s="6">
        <f>IFERROR(TEXTBEFORE('周计划明细'!F77,":"),"")</f>
        <v/>
      </c>
      <c r="D229" s="6">
        <f>IFERROR(VALUE(TEXTBEFORE(TEXTAFTER('周计划明细'!F77,"|"),"h")),0)</f>
        <v/>
      </c>
    </row>
    <row r="230">
      <c r="A230" s="6" t="n">
        <v>78</v>
      </c>
      <c r="B230" s="6" t="inlineStr">
        <is>
          <t>上午</t>
        </is>
      </c>
      <c r="C230" s="6">
        <f>IFERROR(TEXTBEFORE('周计划明细'!D78,":"),"")</f>
        <v/>
      </c>
      <c r="D230" s="6">
        <f>IFERROR(VALUE(TEXTBEFORE(TEXTAFTER('周计划明细'!D78,"|"),"h")),0)</f>
        <v/>
      </c>
    </row>
    <row r="231">
      <c r="A231" s="6" t="n">
        <v>78</v>
      </c>
      <c r="B231" s="6" t="inlineStr">
        <is>
          <t>下午</t>
        </is>
      </c>
      <c r="C231" s="6">
        <f>IFERROR(TEXTBEFORE('周计划明细'!E78,":"),"")</f>
        <v/>
      </c>
      <c r="D231" s="6">
        <f>IFERROR(VALUE(TEXTBEFORE(TEXTAFTER('周计划明细'!E78,"|"),"h")),0)</f>
        <v/>
      </c>
    </row>
    <row r="232">
      <c r="A232" s="6" t="n">
        <v>78</v>
      </c>
      <c r="B232" s="6" t="inlineStr">
        <is>
          <t>晚上</t>
        </is>
      </c>
      <c r="C232" s="6">
        <f>IFERROR(TEXTBEFORE('周计划明细'!F78,":"),"")</f>
        <v/>
      </c>
      <c r="D232" s="6">
        <f>IFERROR(VALUE(TEXTBEFORE(TEXTAFTER('周计划明细'!F78,"|"),"h")),0)</f>
        <v/>
      </c>
    </row>
    <row r="233">
      <c r="A233" s="6" t="n">
        <v>79</v>
      </c>
      <c r="B233" s="6" t="inlineStr">
        <is>
          <t>上午</t>
        </is>
      </c>
      <c r="C233" s="6">
        <f>IFERROR(TEXTBEFORE('周计划明细'!D79,":"),"")</f>
        <v/>
      </c>
      <c r="D233" s="6">
        <f>IFERROR(VALUE(TEXTBEFORE(TEXTAFTER('周计划明细'!D79,"|"),"h")),0)</f>
        <v/>
      </c>
    </row>
    <row r="234">
      <c r="A234" s="6" t="n">
        <v>79</v>
      </c>
      <c r="B234" s="6" t="inlineStr">
        <is>
          <t>下午</t>
        </is>
      </c>
      <c r="C234" s="6">
        <f>IFERROR(TEXTBEFORE('周计划明细'!E79,":"),"")</f>
        <v/>
      </c>
      <c r="D234" s="6">
        <f>IFERROR(VALUE(TEXTBEFORE(TEXTAFTER('周计划明细'!E79,"|"),"h")),0)</f>
        <v/>
      </c>
    </row>
    <row r="235">
      <c r="A235" s="6" t="n">
        <v>79</v>
      </c>
      <c r="B235" s="6" t="inlineStr">
        <is>
          <t>晚上</t>
        </is>
      </c>
      <c r="C235" s="6">
        <f>IFERROR(TEXTBEFORE('周计划明细'!F79,":"),"")</f>
        <v/>
      </c>
      <c r="D235" s="6">
        <f>IFERROR(VALUE(TEXTBEFORE(TEXTAFTER('周计划明细'!F79,"|"),"h")),0)</f>
        <v/>
      </c>
    </row>
    <row r="236">
      <c r="A236" s="6" t="n">
        <v>80</v>
      </c>
      <c r="B236" s="6" t="inlineStr">
        <is>
          <t>上午</t>
        </is>
      </c>
      <c r="C236" s="6">
        <f>IFERROR(TEXTBEFORE('周计划明细'!D80,":"),"")</f>
        <v/>
      </c>
      <c r="D236" s="6">
        <f>IFERROR(VALUE(TEXTBEFORE(TEXTAFTER('周计划明细'!D80,"|"),"h")),0)</f>
        <v/>
      </c>
    </row>
    <row r="237">
      <c r="A237" s="6" t="n">
        <v>80</v>
      </c>
      <c r="B237" s="6" t="inlineStr">
        <is>
          <t>下午</t>
        </is>
      </c>
      <c r="C237" s="6">
        <f>IFERROR(TEXTBEFORE('周计划明细'!E80,":"),"")</f>
        <v/>
      </c>
      <c r="D237" s="6">
        <f>IFERROR(VALUE(TEXTBEFORE(TEXTAFTER('周计划明细'!E80,"|"),"h")),0)</f>
        <v/>
      </c>
    </row>
    <row r="238">
      <c r="A238" s="6" t="n">
        <v>80</v>
      </c>
      <c r="B238" s="6" t="inlineStr">
        <is>
          <t>晚上</t>
        </is>
      </c>
      <c r="C238" s="6">
        <f>IFERROR(TEXTBEFORE('周计划明细'!F80,":"),"")</f>
        <v/>
      </c>
      <c r="D238" s="6">
        <f>IFERROR(VALUE(TEXTBEFORE(TEXTAFTER('周计划明细'!F80,"|"),"h")),0)</f>
        <v/>
      </c>
    </row>
    <row r="239">
      <c r="A239" s="6" t="n">
        <v>81</v>
      </c>
      <c r="B239" s="6" t="inlineStr">
        <is>
          <t>上午</t>
        </is>
      </c>
      <c r="C239" s="6">
        <f>IFERROR(TEXTBEFORE('周计划明细'!D81,":"),"")</f>
        <v/>
      </c>
      <c r="D239" s="6">
        <f>IFERROR(VALUE(TEXTBEFORE(TEXTAFTER('周计划明细'!D81,"|"),"h")),0)</f>
        <v/>
      </c>
    </row>
    <row r="240">
      <c r="A240" s="6" t="n">
        <v>81</v>
      </c>
      <c r="B240" s="6" t="inlineStr">
        <is>
          <t>下午</t>
        </is>
      </c>
      <c r="C240" s="6">
        <f>IFERROR(TEXTBEFORE('周计划明细'!E81,":"),"")</f>
        <v/>
      </c>
      <c r="D240" s="6">
        <f>IFERROR(VALUE(TEXTBEFORE(TEXTAFTER('周计划明细'!E81,"|"),"h")),0)</f>
        <v/>
      </c>
    </row>
    <row r="241">
      <c r="A241" s="6" t="n">
        <v>81</v>
      </c>
      <c r="B241" s="6" t="inlineStr">
        <is>
          <t>晚上</t>
        </is>
      </c>
      <c r="C241" s="6">
        <f>IFERROR(TEXTBEFORE('周计划明细'!F81,":"),"")</f>
        <v/>
      </c>
      <c r="D241" s="6">
        <f>IFERROR(VALUE(TEXTBEFORE(TEXTAFTER('周计划明细'!F81,"|"),"h")),0)</f>
        <v/>
      </c>
    </row>
    <row r="242">
      <c r="A242" s="6" t="n">
        <v>82</v>
      </c>
      <c r="B242" s="6" t="inlineStr">
        <is>
          <t>上午</t>
        </is>
      </c>
      <c r="C242" s="6">
        <f>IFERROR(TEXTBEFORE('周计划明细'!D82,":"),"")</f>
        <v/>
      </c>
      <c r="D242" s="6">
        <f>IFERROR(VALUE(TEXTBEFORE(TEXTAFTER('周计划明细'!D82,"|"),"h")),0)</f>
        <v/>
      </c>
    </row>
    <row r="243">
      <c r="A243" s="6" t="n">
        <v>82</v>
      </c>
      <c r="B243" s="6" t="inlineStr">
        <is>
          <t>下午</t>
        </is>
      </c>
      <c r="C243" s="6">
        <f>IFERROR(TEXTBEFORE('周计划明细'!E82,":"),"")</f>
        <v/>
      </c>
      <c r="D243" s="6">
        <f>IFERROR(VALUE(TEXTBEFORE(TEXTAFTER('周计划明细'!E82,"|"),"h")),0)</f>
        <v/>
      </c>
    </row>
    <row r="244">
      <c r="A244" s="6" t="n">
        <v>82</v>
      </c>
      <c r="B244" s="6" t="inlineStr">
        <is>
          <t>晚上</t>
        </is>
      </c>
      <c r="C244" s="6">
        <f>IFERROR(TEXTBEFORE('周计划明细'!F82,":"),"")</f>
        <v/>
      </c>
      <c r="D244" s="6">
        <f>IFERROR(VALUE(TEXTBEFORE(TEXTAFTER('周计划明细'!F82,"|"),"h")),0)</f>
        <v/>
      </c>
    </row>
    <row r="245">
      <c r="A245" s="6" t="n">
        <v>83</v>
      </c>
      <c r="B245" s="6" t="inlineStr">
        <is>
          <t>上午</t>
        </is>
      </c>
      <c r="C245" s="6">
        <f>IFERROR(TEXTBEFORE('周计划明细'!D83,":"),"")</f>
        <v/>
      </c>
      <c r="D245" s="6">
        <f>IFERROR(VALUE(TEXTBEFORE(TEXTAFTER('周计划明细'!D83,"|"),"h")),0)</f>
        <v/>
      </c>
    </row>
    <row r="246">
      <c r="A246" s="6" t="n">
        <v>83</v>
      </c>
      <c r="B246" s="6" t="inlineStr">
        <is>
          <t>下午</t>
        </is>
      </c>
      <c r="C246" s="6">
        <f>IFERROR(TEXTBEFORE('周计划明细'!E83,":"),"")</f>
        <v/>
      </c>
      <c r="D246" s="6">
        <f>IFERROR(VALUE(TEXTBEFORE(TEXTAFTER('周计划明细'!E83,"|"),"h")),0)</f>
        <v/>
      </c>
    </row>
    <row r="247">
      <c r="A247" s="6" t="n">
        <v>83</v>
      </c>
      <c r="B247" s="6" t="inlineStr">
        <is>
          <t>晚上</t>
        </is>
      </c>
      <c r="C247" s="6">
        <f>IFERROR(TEXTBEFORE('周计划明细'!F83,":"),"")</f>
        <v/>
      </c>
      <c r="D247" s="6">
        <f>IFERROR(VALUE(TEXTBEFORE(TEXTAFTER('周计划明细'!F83,"|"),"h")),0)</f>
        <v/>
      </c>
    </row>
    <row r="248">
      <c r="A248" s="6" t="n">
        <v>84</v>
      </c>
      <c r="B248" s="6" t="inlineStr">
        <is>
          <t>上午</t>
        </is>
      </c>
      <c r="C248" s="6">
        <f>IFERROR(TEXTBEFORE('周计划明细'!D84,":"),"")</f>
        <v/>
      </c>
      <c r="D248" s="6">
        <f>IFERROR(VALUE(TEXTBEFORE(TEXTAFTER('周计划明细'!D84,"|"),"h")),0)</f>
        <v/>
      </c>
    </row>
    <row r="249">
      <c r="A249" s="6" t="n">
        <v>84</v>
      </c>
      <c r="B249" s="6" t="inlineStr">
        <is>
          <t>下午</t>
        </is>
      </c>
      <c r="C249" s="6">
        <f>IFERROR(TEXTBEFORE('周计划明细'!E84,":"),"")</f>
        <v/>
      </c>
      <c r="D249" s="6">
        <f>IFERROR(VALUE(TEXTBEFORE(TEXTAFTER('周计划明细'!E84,"|"),"h")),0)</f>
        <v/>
      </c>
    </row>
    <row r="250">
      <c r="A250" s="6" t="n">
        <v>84</v>
      </c>
      <c r="B250" s="6" t="inlineStr">
        <is>
          <t>晚上</t>
        </is>
      </c>
      <c r="C250" s="6">
        <f>IFERROR(TEXTBEFORE('周计划明细'!F84,":"),"")</f>
        <v/>
      </c>
      <c r="D250" s="6">
        <f>IFERROR(VALUE(TEXTBEFORE(TEXTAFTER('周计划明细'!F84,"|"),"h")),0)</f>
        <v/>
      </c>
    </row>
    <row r="251">
      <c r="A251" s="6" t="n">
        <v>85</v>
      </c>
      <c r="B251" s="6" t="inlineStr">
        <is>
          <t>上午</t>
        </is>
      </c>
      <c r="C251" s="6">
        <f>IFERROR(TEXTBEFORE('周计划明细'!D85,":"),"")</f>
        <v/>
      </c>
      <c r="D251" s="6">
        <f>IFERROR(VALUE(TEXTBEFORE(TEXTAFTER('周计划明细'!D85,"|"),"h")),0)</f>
        <v/>
      </c>
    </row>
    <row r="252">
      <c r="A252" s="6" t="n">
        <v>85</v>
      </c>
      <c r="B252" s="6" t="inlineStr">
        <is>
          <t>下午</t>
        </is>
      </c>
      <c r="C252" s="6">
        <f>IFERROR(TEXTBEFORE('周计划明细'!E85,":"),"")</f>
        <v/>
      </c>
      <c r="D252" s="6">
        <f>IFERROR(VALUE(TEXTBEFORE(TEXTAFTER('周计划明细'!E85,"|"),"h")),0)</f>
        <v/>
      </c>
    </row>
    <row r="253">
      <c r="A253" s="6" t="n">
        <v>85</v>
      </c>
      <c r="B253" s="6" t="inlineStr">
        <is>
          <t>晚上</t>
        </is>
      </c>
      <c r="C253" s="6">
        <f>IFERROR(TEXTBEFORE('周计划明细'!F85,":"),"")</f>
        <v/>
      </c>
      <c r="D253" s="6">
        <f>IFERROR(VALUE(TEXTBEFORE(TEXTAFTER('周计划明细'!F85,"|"),"h")),0)</f>
        <v/>
      </c>
    </row>
    <row r="254">
      <c r="A254" s="6" t="n">
        <v>86</v>
      </c>
      <c r="B254" s="6" t="inlineStr">
        <is>
          <t>上午</t>
        </is>
      </c>
      <c r="C254" s="6">
        <f>IFERROR(TEXTBEFORE('周计划明细'!D86,":"),"")</f>
        <v/>
      </c>
      <c r="D254" s="6">
        <f>IFERROR(VALUE(TEXTBEFORE(TEXTAFTER('周计划明细'!D86,"|"),"h")),0)</f>
        <v/>
      </c>
    </row>
    <row r="255">
      <c r="A255" s="6" t="n">
        <v>86</v>
      </c>
      <c r="B255" s="6" t="inlineStr">
        <is>
          <t>下午</t>
        </is>
      </c>
      <c r="C255" s="6">
        <f>IFERROR(TEXTBEFORE('周计划明细'!E86,":"),"")</f>
        <v/>
      </c>
      <c r="D255" s="6">
        <f>IFERROR(VALUE(TEXTBEFORE(TEXTAFTER('周计划明细'!E86,"|"),"h")),0)</f>
        <v/>
      </c>
    </row>
    <row r="256">
      <c r="A256" s="6" t="n">
        <v>86</v>
      </c>
      <c r="B256" s="6" t="inlineStr">
        <is>
          <t>晚上</t>
        </is>
      </c>
      <c r="C256" s="6">
        <f>IFERROR(TEXTBEFORE('周计划明细'!F86,":"),"")</f>
        <v/>
      </c>
      <c r="D256" s="6">
        <f>IFERROR(VALUE(TEXTBEFORE(TEXTAFTER('周计划明细'!F86,"|"),"h")),0)</f>
        <v/>
      </c>
    </row>
    <row r="257">
      <c r="A257" s="6" t="n">
        <v>87</v>
      </c>
      <c r="B257" s="6" t="inlineStr">
        <is>
          <t>上午</t>
        </is>
      </c>
      <c r="C257" s="6">
        <f>IFERROR(TEXTBEFORE('周计划明细'!D87,":"),"")</f>
        <v/>
      </c>
      <c r="D257" s="6">
        <f>IFERROR(VALUE(TEXTBEFORE(TEXTAFTER('周计划明细'!D87,"|"),"h")),0)</f>
        <v/>
      </c>
    </row>
    <row r="258">
      <c r="A258" s="6" t="n">
        <v>87</v>
      </c>
      <c r="B258" s="6" t="inlineStr">
        <is>
          <t>下午</t>
        </is>
      </c>
      <c r="C258" s="6">
        <f>IFERROR(TEXTBEFORE('周计划明细'!E87,":"),"")</f>
        <v/>
      </c>
      <c r="D258" s="6">
        <f>IFERROR(VALUE(TEXTBEFORE(TEXTAFTER('周计划明细'!E87,"|"),"h")),0)</f>
        <v/>
      </c>
    </row>
    <row r="259">
      <c r="A259" s="6" t="n">
        <v>87</v>
      </c>
      <c r="B259" s="6" t="inlineStr">
        <is>
          <t>晚上</t>
        </is>
      </c>
      <c r="C259" s="6">
        <f>IFERROR(TEXTBEFORE('周计划明细'!F87,":"),"")</f>
        <v/>
      </c>
      <c r="D259" s="6">
        <f>IFERROR(VALUE(TEXTBEFORE(TEXTAFTER('周计划明细'!F87,"|"),"h")),0)</f>
        <v/>
      </c>
    </row>
    <row r="260">
      <c r="A260" s="6" t="n">
        <v>88</v>
      </c>
      <c r="B260" s="6" t="inlineStr">
        <is>
          <t>上午</t>
        </is>
      </c>
      <c r="C260" s="6">
        <f>IFERROR(TEXTBEFORE('周计划明细'!D88,":"),"")</f>
        <v/>
      </c>
      <c r="D260" s="6">
        <f>IFERROR(VALUE(TEXTBEFORE(TEXTAFTER('周计划明细'!D88,"|"),"h")),0)</f>
        <v/>
      </c>
    </row>
    <row r="261">
      <c r="A261" s="6" t="n">
        <v>88</v>
      </c>
      <c r="B261" s="6" t="inlineStr">
        <is>
          <t>下午</t>
        </is>
      </c>
      <c r="C261" s="6">
        <f>IFERROR(TEXTBEFORE('周计划明细'!E88,":"),"")</f>
        <v/>
      </c>
      <c r="D261" s="6">
        <f>IFERROR(VALUE(TEXTBEFORE(TEXTAFTER('周计划明细'!E88,"|"),"h")),0)</f>
        <v/>
      </c>
    </row>
    <row r="262">
      <c r="A262" s="6" t="n">
        <v>88</v>
      </c>
      <c r="B262" s="6" t="inlineStr">
        <is>
          <t>晚上</t>
        </is>
      </c>
      <c r="C262" s="6">
        <f>IFERROR(TEXTBEFORE('周计划明细'!F88,":"),"")</f>
        <v/>
      </c>
      <c r="D262" s="6">
        <f>IFERROR(VALUE(TEXTBEFORE(TEXTAFTER('周计划明细'!F88,"|"),"h")),0)</f>
        <v/>
      </c>
    </row>
    <row r="263">
      <c r="A263" s="6" t="n">
        <v>89</v>
      </c>
      <c r="B263" s="6" t="inlineStr">
        <is>
          <t>上午</t>
        </is>
      </c>
      <c r="C263" s="6">
        <f>IFERROR(TEXTBEFORE('周计划明细'!D89,":"),"")</f>
        <v/>
      </c>
      <c r="D263" s="6">
        <f>IFERROR(VALUE(TEXTBEFORE(TEXTAFTER('周计划明细'!D89,"|"),"h")),0)</f>
        <v/>
      </c>
    </row>
    <row r="264">
      <c r="A264" s="6" t="n">
        <v>89</v>
      </c>
      <c r="B264" s="6" t="inlineStr">
        <is>
          <t>下午</t>
        </is>
      </c>
      <c r="C264" s="6">
        <f>IFERROR(TEXTBEFORE('周计划明细'!E89,":"),"")</f>
        <v/>
      </c>
      <c r="D264" s="6">
        <f>IFERROR(VALUE(TEXTBEFORE(TEXTAFTER('周计划明细'!E89,"|"),"h")),0)</f>
        <v/>
      </c>
    </row>
    <row r="265">
      <c r="A265" s="6" t="n">
        <v>89</v>
      </c>
      <c r="B265" s="6" t="inlineStr">
        <is>
          <t>晚上</t>
        </is>
      </c>
      <c r="C265" s="6">
        <f>IFERROR(TEXTBEFORE('周计划明细'!F89,":"),"")</f>
        <v/>
      </c>
      <c r="D265" s="6">
        <f>IFERROR(VALUE(TEXTBEFORE(TEXTAFTER('周计划明细'!F89,"|"),"h")),0)</f>
        <v/>
      </c>
    </row>
    <row r="266">
      <c r="A266" s="6" t="n">
        <v>90</v>
      </c>
      <c r="B266" s="6" t="inlineStr">
        <is>
          <t>上午</t>
        </is>
      </c>
      <c r="C266" s="6">
        <f>IFERROR(TEXTBEFORE('周计划明细'!D90,":"),"")</f>
        <v/>
      </c>
      <c r="D266" s="6">
        <f>IFERROR(VALUE(TEXTBEFORE(TEXTAFTER('周计划明细'!D90,"|"),"h")),0)</f>
        <v/>
      </c>
    </row>
    <row r="267">
      <c r="A267" s="6" t="n">
        <v>90</v>
      </c>
      <c r="B267" s="6" t="inlineStr">
        <is>
          <t>下午</t>
        </is>
      </c>
      <c r="C267" s="6">
        <f>IFERROR(TEXTBEFORE('周计划明细'!E90,":"),"")</f>
        <v/>
      </c>
      <c r="D267" s="6">
        <f>IFERROR(VALUE(TEXTBEFORE(TEXTAFTER('周计划明细'!E90,"|"),"h")),0)</f>
        <v/>
      </c>
    </row>
    <row r="268">
      <c r="A268" s="6" t="n">
        <v>90</v>
      </c>
      <c r="B268" s="6" t="inlineStr">
        <is>
          <t>晚上</t>
        </is>
      </c>
      <c r="C268" s="6">
        <f>IFERROR(TEXTBEFORE('周计划明细'!F90,":"),"")</f>
        <v/>
      </c>
      <c r="D268" s="6">
        <f>IFERROR(VALUE(TEXTBEFORE(TEXTAFTER('周计划明细'!F90,"|"),"h")),0)</f>
        <v/>
      </c>
    </row>
    <row r="269">
      <c r="A269" s="6" t="n">
        <v>91</v>
      </c>
      <c r="B269" s="6" t="inlineStr">
        <is>
          <t>上午</t>
        </is>
      </c>
      <c r="C269" s="6">
        <f>IFERROR(TEXTBEFORE('周计划明细'!D91,":"),"")</f>
        <v/>
      </c>
      <c r="D269" s="6">
        <f>IFERROR(VALUE(TEXTBEFORE(TEXTAFTER('周计划明细'!D91,"|"),"h")),0)</f>
        <v/>
      </c>
    </row>
    <row r="270">
      <c r="A270" s="6" t="n">
        <v>91</v>
      </c>
      <c r="B270" s="6" t="inlineStr">
        <is>
          <t>下午</t>
        </is>
      </c>
      <c r="C270" s="6">
        <f>IFERROR(TEXTBEFORE('周计划明细'!E91,":"),"")</f>
        <v/>
      </c>
      <c r="D270" s="6">
        <f>IFERROR(VALUE(TEXTBEFORE(TEXTAFTER('周计划明细'!E91,"|"),"h")),0)</f>
        <v/>
      </c>
    </row>
    <row r="271">
      <c r="A271" s="6" t="n">
        <v>91</v>
      </c>
      <c r="B271" s="6" t="inlineStr">
        <is>
          <t>晚上</t>
        </is>
      </c>
      <c r="C271" s="6">
        <f>IFERROR(TEXTBEFORE('周计划明细'!F91,":"),"")</f>
        <v/>
      </c>
      <c r="D271" s="6">
        <f>IFERROR(VALUE(TEXTBEFORE(TEXTAFTER('周计划明细'!F91,"|"),"h")),0)</f>
        <v/>
      </c>
    </row>
    <row r="272">
      <c r="A272" s="6" t="n">
        <v>92</v>
      </c>
      <c r="B272" s="6" t="inlineStr">
        <is>
          <t>上午</t>
        </is>
      </c>
      <c r="C272" s="6">
        <f>IFERROR(TEXTBEFORE('周计划明细'!D92,":"),"")</f>
        <v/>
      </c>
      <c r="D272" s="6">
        <f>IFERROR(VALUE(TEXTBEFORE(TEXTAFTER('周计划明细'!D92,"|"),"h")),0)</f>
        <v/>
      </c>
    </row>
    <row r="273">
      <c r="A273" s="6" t="n">
        <v>92</v>
      </c>
      <c r="B273" s="6" t="inlineStr">
        <is>
          <t>下午</t>
        </is>
      </c>
      <c r="C273" s="6">
        <f>IFERROR(TEXTBEFORE('周计划明细'!E92,":"),"")</f>
        <v/>
      </c>
      <c r="D273" s="6">
        <f>IFERROR(VALUE(TEXTBEFORE(TEXTAFTER('周计划明细'!E92,"|"),"h")),0)</f>
        <v/>
      </c>
    </row>
    <row r="274">
      <c r="A274" s="6" t="n">
        <v>92</v>
      </c>
      <c r="B274" s="6" t="inlineStr">
        <is>
          <t>晚上</t>
        </is>
      </c>
      <c r="C274" s="6">
        <f>IFERROR(TEXTBEFORE('周计划明细'!F92,":"),"")</f>
        <v/>
      </c>
      <c r="D274" s="6">
        <f>IFERROR(VALUE(TEXTBEFORE(TEXTAFTER('周计划明细'!F92,"|"),"h")),0)</f>
        <v/>
      </c>
    </row>
    <row r="275">
      <c r="A275" s="6" t="n">
        <v>93</v>
      </c>
      <c r="B275" s="6" t="inlineStr">
        <is>
          <t>上午</t>
        </is>
      </c>
      <c r="C275" s="6">
        <f>IFERROR(TEXTBEFORE('周计划明细'!D93,":"),"")</f>
        <v/>
      </c>
      <c r="D275" s="6">
        <f>IFERROR(VALUE(TEXTBEFORE(TEXTAFTER('周计划明细'!D93,"|"),"h")),0)</f>
        <v/>
      </c>
    </row>
    <row r="276">
      <c r="A276" s="6" t="n">
        <v>93</v>
      </c>
      <c r="B276" s="6" t="inlineStr">
        <is>
          <t>下午</t>
        </is>
      </c>
      <c r="C276" s="6">
        <f>IFERROR(TEXTBEFORE('周计划明细'!E93,":"),"")</f>
        <v/>
      </c>
      <c r="D276" s="6">
        <f>IFERROR(VALUE(TEXTBEFORE(TEXTAFTER('周计划明细'!E93,"|"),"h")),0)</f>
        <v/>
      </c>
    </row>
    <row r="277">
      <c r="A277" s="6" t="n">
        <v>93</v>
      </c>
      <c r="B277" s="6" t="inlineStr">
        <is>
          <t>晚上</t>
        </is>
      </c>
      <c r="C277" s="6">
        <f>IFERROR(TEXTBEFORE('周计划明细'!F93,":"),"")</f>
        <v/>
      </c>
      <c r="D277" s="6">
        <f>IFERROR(VALUE(TEXTBEFORE(TEXTAFTER('周计划明细'!F93,"|"),"h")),0)</f>
        <v/>
      </c>
    </row>
    <row r="278">
      <c r="A278" s="6" t="n">
        <v>94</v>
      </c>
      <c r="B278" s="6" t="inlineStr">
        <is>
          <t>上午</t>
        </is>
      </c>
      <c r="C278" s="6">
        <f>IFERROR(TEXTBEFORE('周计划明细'!D94,":"),"")</f>
        <v/>
      </c>
      <c r="D278" s="6">
        <f>IFERROR(VALUE(TEXTBEFORE(TEXTAFTER('周计划明细'!D94,"|"),"h")),0)</f>
        <v/>
      </c>
    </row>
    <row r="279">
      <c r="A279" s="6" t="n">
        <v>94</v>
      </c>
      <c r="B279" s="6" t="inlineStr">
        <is>
          <t>下午</t>
        </is>
      </c>
      <c r="C279" s="6">
        <f>IFERROR(TEXTBEFORE('周计划明细'!E94,":"),"")</f>
        <v/>
      </c>
      <c r="D279" s="6">
        <f>IFERROR(VALUE(TEXTBEFORE(TEXTAFTER('周计划明细'!E94,"|"),"h")),0)</f>
        <v/>
      </c>
    </row>
    <row r="280">
      <c r="A280" s="6" t="n">
        <v>94</v>
      </c>
      <c r="B280" s="6" t="inlineStr">
        <is>
          <t>晚上</t>
        </is>
      </c>
      <c r="C280" s="6">
        <f>IFERROR(TEXTBEFORE('周计划明细'!F94,":"),"")</f>
        <v/>
      </c>
      <c r="D280" s="6">
        <f>IFERROR(VALUE(TEXTBEFORE(TEXTAFTER('周计划明细'!F94,"|"),"h")),0)</f>
        <v/>
      </c>
    </row>
    <row r="281">
      <c r="A281" s="6" t="n">
        <v>95</v>
      </c>
      <c r="B281" s="6" t="inlineStr">
        <is>
          <t>上午</t>
        </is>
      </c>
      <c r="C281" s="6">
        <f>IFERROR(TEXTBEFORE('周计划明细'!D95,":"),"")</f>
        <v/>
      </c>
      <c r="D281" s="6">
        <f>IFERROR(VALUE(TEXTBEFORE(TEXTAFTER('周计划明细'!D95,"|"),"h")),0)</f>
        <v/>
      </c>
    </row>
    <row r="282">
      <c r="A282" s="6" t="n">
        <v>95</v>
      </c>
      <c r="B282" s="6" t="inlineStr">
        <is>
          <t>下午</t>
        </is>
      </c>
      <c r="C282" s="6">
        <f>IFERROR(TEXTBEFORE('周计划明细'!E95,":"),"")</f>
        <v/>
      </c>
      <c r="D282" s="6">
        <f>IFERROR(VALUE(TEXTBEFORE(TEXTAFTER('周计划明细'!E95,"|"),"h")),0)</f>
        <v/>
      </c>
    </row>
    <row r="283">
      <c r="A283" s="6" t="n">
        <v>95</v>
      </c>
      <c r="B283" s="6" t="inlineStr">
        <is>
          <t>晚上</t>
        </is>
      </c>
      <c r="C283" s="6">
        <f>IFERROR(TEXTBEFORE('周计划明细'!F95,":"),"")</f>
        <v/>
      </c>
      <c r="D283" s="6">
        <f>IFERROR(VALUE(TEXTBEFORE(TEXTAFTER('周计划明细'!F95,"|"),"h")),0)</f>
        <v/>
      </c>
    </row>
    <row r="284">
      <c r="A284" s="6" t="n">
        <v>96</v>
      </c>
      <c r="B284" s="6" t="inlineStr">
        <is>
          <t>上午</t>
        </is>
      </c>
      <c r="C284" s="6">
        <f>IFERROR(TEXTBEFORE('周计划明细'!D96,":"),"")</f>
        <v/>
      </c>
      <c r="D284" s="6">
        <f>IFERROR(VALUE(TEXTBEFORE(TEXTAFTER('周计划明细'!D96,"|"),"h")),0)</f>
        <v/>
      </c>
    </row>
    <row r="285">
      <c r="A285" s="6" t="n">
        <v>96</v>
      </c>
      <c r="B285" s="6" t="inlineStr">
        <is>
          <t>下午</t>
        </is>
      </c>
      <c r="C285" s="6">
        <f>IFERROR(TEXTBEFORE('周计划明细'!E96,":"),"")</f>
        <v/>
      </c>
      <c r="D285" s="6">
        <f>IFERROR(VALUE(TEXTBEFORE(TEXTAFTER('周计划明细'!E96,"|"),"h")),0)</f>
        <v/>
      </c>
    </row>
    <row r="286">
      <c r="A286" s="6" t="n">
        <v>96</v>
      </c>
      <c r="B286" s="6" t="inlineStr">
        <is>
          <t>晚上</t>
        </is>
      </c>
      <c r="C286" s="6">
        <f>IFERROR(TEXTBEFORE('周计划明细'!F96,":"),"")</f>
        <v/>
      </c>
      <c r="D286" s="6">
        <f>IFERROR(VALUE(TEXTBEFORE(TEXTAFTER('周计划明细'!F96,"|"),"h")),0)</f>
        <v/>
      </c>
    </row>
    <row r="287">
      <c r="A287" s="6" t="n">
        <v>97</v>
      </c>
      <c r="B287" s="6" t="inlineStr">
        <is>
          <t>上午</t>
        </is>
      </c>
      <c r="C287" s="6">
        <f>IFERROR(TEXTBEFORE('周计划明细'!D97,":"),"")</f>
        <v/>
      </c>
      <c r="D287" s="6">
        <f>IFERROR(VALUE(TEXTBEFORE(TEXTAFTER('周计划明细'!D97,"|"),"h")),0)</f>
        <v/>
      </c>
    </row>
    <row r="288">
      <c r="A288" s="6" t="n">
        <v>97</v>
      </c>
      <c r="B288" s="6" t="inlineStr">
        <is>
          <t>下午</t>
        </is>
      </c>
      <c r="C288" s="6">
        <f>IFERROR(TEXTBEFORE('周计划明细'!E97,":"),"")</f>
        <v/>
      </c>
      <c r="D288" s="6">
        <f>IFERROR(VALUE(TEXTBEFORE(TEXTAFTER('周计划明细'!E97,"|"),"h")),0)</f>
        <v/>
      </c>
    </row>
    <row r="289">
      <c r="A289" s="6" t="n">
        <v>97</v>
      </c>
      <c r="B289" s="6" t="inlineStr">
        <is>
          <t>晚上</t>
        </is>
      </c>
      <c r="C289" s="6">
        <f>IFERROR(TEXTBEFORE('周计划明细'!F97,":"),"")</f>
        <v/>
      </c>
      <c r="D289" s="6">
        <f>IFERROR(VALUE(TEXTBEFORE(TEXTAFTER('周计划明细'!F97,"|"),"h")),0)</f>
        <v/>
      </c>
    </row>
    <row r="290">
      <c r="A290" s="6" t="n">
        <v>98</v>
      </c>
      <c r="B290" s="6" t="inlineStr">
        <is>
          <t>上午</t>
        </is>
      </c>
      <c r="C290" s="6">
        <f>IFERROR(TEXTBEFORE('周计划明细'!D98,":"),"")</f>
        <v/>
      </c>
      <c r="D290" s="6">
        <f>IFERROR(VALUE(TEXTBEFORE(TEXTAFTER('周计划明细'!D98,"|"),"h")),0)</f>
        <v/>
      </c>
    </row>
    <row r="291">
      <c r="A291" s="6" t="n">
        <v>98</v>
      </c>
      <c r="B291" s="6" t="inlineStr">
        <is>
          <t>下午</t>
        </is>
      </c>
      <c r="C291" s="6">
        <f>IFERROR(TEXTBEFORE('周计划明细'!E98,":"),"")</f>
        <v/>
      </c>
      <c r="D291" s="6">
        <f>IFERROR(VALUE(TEXTBEFORE(TEXTAFTER('周计划明细'!E98,"|"),"h")),0)</f>
        <v/>
      </c>
    </row>
    <row r="292">
      <c r="A292" s="6" t="n">
        <v>98</v>
      </c>
      <c r="B292" s="6" t="inlineStr">
        <is>
          <t>晚上</t>
        </is>
      </c>
      <c r="C292" s="6">
        <f>IFERROR(TEXTBEFORE('周计划明细'!F98,":"),"")</f>
        <v/>
      </c>
      <c r="D292" s="6">
        <f>IFERROR(VALUE(TEXTBEFORE(TEXTAFTER('周计划明细'!F98,"|"),"h")),0)</f>
        <v/>
      </c>
    </row>
    <row r="293">
      <c r="A293" s="6" t="n">
        <v>99</v>
      </c>
      <c r="B293" s="6" t="inlineStr">
        <is>
          <t>上午</t>
        </is>
      </c>
      <c r="C293" s="6">
        <f>IFERROR(TEXTBEFORE('周计划明细'!D99,":"),"")</f>
        <v/>
      </c>
      <c r="D293" s="6">
        <f>IFERROR(VALUE(TEXTBEFORE(TEXTAFTER('周计划明细'!D99,"|"),"h")),0)</f>
        <v/>
      </c>
    </row>
    <row r="294">
      <c r="A294" s="6" t="n">
        <v>99</v>
      </c>
      <c r="B294" s="6" t="inlineStr">
        <is>
          <t>下午</t>
        </is>
      </c>
      <c r="C294" s="6">
        <f>IFERROR(TEXTBEFORE('周计划明细'!E99,":"),"")</f>
        <v/>
      </c>
      <c r="D294" s="6">
        <f>IFERROR(VALUE(TEXTBEFORE(TEXTAFTER('周计划明细'!E99,"|"),"h")),0)</f>
        <v/>
      </c>
    </row>
    <row r="295">
      <c r="A295" s="6" t="n">
        <v>99</v>
      </c>
      <c r="B295" s="6" t="inlineStr">
        <is>
          <t>晚上</t>
        </is>
      </c>
      <c r="C295" s="6">
        <f>IFERROR(TEXTBEFORE('周计划明细'!F99,":"),"")</f>
        <v/>
      </c>
      <c r="D295" s="6">
        <f>IFERROR(VALUE(TEXTBEFORE(TEXTAFTER('周计划明细'!F99,"|"),"h")),0)</f>
        <v/>
      </c>
    </row>
    <row r="296">
      <c r="A296" s="6" t="n">
        <v>100</v>
      </c>
      <c r="B296" s="6" t="inlineStr">
        <is>
          <t>上午</t>
        </is>
      </c>
      <c r="C296" s="6">
        <f>IFERROR(TEXTBEFORE('周计划明细'!D100,":"),"")</f>
        <v/>
      </c>
      <c r="D296" s="6">
        <f>IFERROR(VALUE(TEXTBEFORE(TEXTAFTER('周计划明细'!D100,"|"),"h")),0)</f>
        <v/>
      </c>
    </row>
    <row r="297">
      <c r="A297" s="6" t="n">
        <v>100</v>
      </c>
      <c r="B297" s="6" t="inlineStr">
        <is>
          <t>下午</t>
        </is>
      </c>
      <c r="C297" s="6">
        <f>IFERROR(TEXTBEFORE('周计划明细'!E100,":"),"")</f>
        <v/>
      </c>
      <c r="D297" s="6">
        <f>IFERROR(VALUE(TEXTBEFORE(TEXTAFTER('周计划明细'!E100,"|"),"h")),0)</f>
        <v/>
      </c>
    </row>
    <row r="298">
      <c r="A298" s="6" t="n">
        <v>100</v>
      </c>
      <c r="B298" s="6" t="inlineStr">
        <is>
          <t>晚上</t>
        </is>
      </c>
      <c r="C298" s="6">
        <f>IFERROR(TEXTBEFORE('周计划明细'!F100,":"),"")</f>
        <v/>
      </c>
      <c r="D298" s="6">
        <f>IFERROR(VALUE(TEXTBEFORE(TEXTAFTER('周计划明细'!F100,"|"),"h")),0)</f>
        <v/>
      </c>
    </row>
    <row r="299">
      <c r="A299" s="6" t="n">
        <v>101</v>
      </c>
      <c r="B299" s="6" t="inlineStr">
        <is>
          <t>上午</t>
        </is>
      </c>
      <c r="C299" s="6">
        <f>IFERROR(TEXTBEFORE('周计划明细'!D101,":"),"")</f>
        <v/>
      </c>
      <c r="D299" s="6">
        <f>IFERROR(VALUE(TEXTBEFORE(TEXTAFTER('周计划明细'!D101,"|"),"h")),0)</f>
        <v/>
      </c>
    </row>
    <row r="300">
      <c r="A300" s="6" t="n">
        <v>101</v>
      </c>
      <c r="B300" s="6" t="inlineStr">
        <is>
          <t>下午</t>
        </is>
      </c>
      <c r="C300" s="6">
        <f>IFERROR(TEXTBEFORE('周计划明细'!E101,":"),"")</f>
        <v/>
      </c>
      <c r="D300" s="6">
        <f>IFERROR(VALUE(TEXTBEFORE(TEXTAFTER('周计划明细'!E101,"|"),"h")),0)</f>
        <v/>
      </c>
    </row>
    <row r="301">
      <c r="A301" s="6" t="n">
        <v>101</v>
      </c>
      <c r="B301" s="6" t="inlineStr">
        <is>
          <t>晚上</t>
        </is>
      </c>
      <c r="C301" s="6">
        <f>IFERROR(TEXTBEFORE('周计划明细'!F101,":"),"")</f>
        <v/>
      </c>
      <c r="D301" s="6">
        <f>IFERROR(VALUE(TEXTBEFORE(TEXTAFTER('周计划明细'!F101,"|"),"h")),0)</f>
        <v/>
      </c>
    </row>
    <row r="302">
      <c r="A302" s="6" t="n">
        <v>102</v>
      </c>
      <c r="B302" s="6" t="inlineStr">
        <is>
          <t>上午</t>
        </is>
      </c>
      <c r="C302" s="6">
        <f>IFERROR(TEXTBEFORE('周计划明细'!D102,":"),"")</f>
        <v/>
      </c>
      <c r="D302" s="6">
        <f>IFERROR(VALUE(TEXTBEFORE(TEXTAFTER('周计划明细'!D102,"|"),"h")),0)</f>
        <v/>
      </c>
    </row>
    <row r="303">
      <c r="A303" s="6" t="n">
        <v>102</v>
      </c>
      <c r="B303" s="6" t="inlineStr">
        <is>
          <t>下午</t>
        </is>
      </c>
      <c r="C303" s="6">
        <f>IFERROR(TEXTBEFORE('周计划明细'!E102,":"),"")</f>
        <v/>
      </c>
      <c r="D303" s="6">
        <f>IFERROR(VALUE(TEXTBEFORE(TEXTAFTER('周计划明细'!E102,"|"),"h")),0)</f>
        <v/>
      </c>
    </row>
    <row r="304">
      <c r="A304" s="6" t="n">
        <v>102</v>
      </c>
      <c r="B304" s="6" t="inlineStr">
        <is>
          <t>晚上</t>
        </is>
      </c>
      <c r="C304" s="6">
        <f>IFERROR(TEXTBEFORE('周计划明细'!F102,":"),"")</f>
        <v/>
      </c>
      <c r="D304" s="6">
        <f>IFERROR(VALUE(TEXTBEFORE(TEXTAFTER('周计划明细'!F102,"|"),"h")),0)</f>
        <v/>
      </c>
    </row>
    <row r="305">
      <c r="A305" s="6" t="n">
        <v>103</v>
      </c>
      <c r="B305" s="6" t="inlineStr">
        <is>
          <t>上午</t>
        </is>
      </c>
      <c r="C305" s="6">
        <f>IFERROR(TEXTBEFORE('周计划明细'!D103,":"),"")</f>
        <v/>
      </c>
      <c r="D305" s="6">
        <f>IFERROR(VALUE(TEXTBEFORE(TEXTAFTER('周计划明细'!D103,"|"),"h")),0)</f>
        <v/>
      </c>
    </row>
    <row r="306">
      <c r="A306" s="6" t="n">
        <v>103</v>
      </c>
      <c r="B306" s="6" t="inlineStr">
        <is>
          <t>下午</t>
        </is>
      </c>
      <c r="C306" s="6">
        <f>IFERROR(TEXTBEFORE('周计划明细'!E103,":"),"")</f>
        <v/>
      </c>
      <c r="D306" s="6">
        <f>IFERROR(VALUE(TEXTBEFORE(TEXTAFTER('周计划明细'!E103,"|"),"h")),0)</f>
        <v/>
      </c>
    </row>
    <row r="307">
      <c r="A307" s="6" t="n">
        <v>103</v>
      </c>
      <c r="B307" s="6" t="inlineStr">
        <is>
          <t>晚上</t>
        </is>
      </c>
      <c r="C307" s="6">
        <f>IFERROR(TEXTBEFORE('周计划明细'!F103,":"),"")</f>
        <v/>
      </c>
      <c r="D307" s="6">
        <f>IFERROR(VALUE(TEXTBEFORE(TEXTAFTER('周计划明细'!F103,"|"),"h")),0)</f>
        <v/>
      </c>
    </row>
    <row r="308">
      <c r="A308" s="6" t="n">
        <v>104</v>
      </c>
      <c r="B308" s="6" t="inlineStr">
        <is>
          <t>上午</t>
        </is>
      </c>
      <c r="C308" s="6">
        <f>IFERROR(TEXTBEFORE('周计划明细'!D104,":"),"")</f>
        <v/>
      </c>
      <c r="D308" s="6">
        <f>IFERROR(VALUE(TEXTBEFORE(TEXTAFTER('周计划明细'!D104,"|"),"h")),0)</f>
        <v/>
      </c>
    </row>
    <row r="309">
      <c r="A309" s="6" t="n">
        <v>104</v>
      </c>
      <c r="B309" s="6" t="inlineStr">
        <is>
          <t>下午</t>
        </is>
      </c>
      <c r="C309" s="6">
        <f>IFERROR(TEXTBEFORE('周计划明细'!E104,":"),"")</f>
        <v/>
      </c>
      <c r="D309" s="6">
        <f>IFERROR(VALUE(TEXTBEFORE(TEXTAFTER('周计划明细'!E104,"|"),"h")),0)</f>
        <v/>
      </c>
    </row>
    <row r="310">
      <c r="A310" s="6" t="n">
        <v>104</v>
      </c>
      <c r="B310" s="6" t="inlineStr">
        <is>
          <t>晚上</t>
        </is>
      </c>
      <c r="C310" s="6">
        <f>IFERROR(TEXTBEFORE('周计划明细'!F104,":"),"")</f>
        <v/>
      </c>
      <c r="D310" s="6">
        <f>IFERROR(VALUE(TEXTBEFORE(TEXTAFTER('周计划明细'!F104,"|"),"h")),0)</f>
        <v/>
      </c>
    </row>
    <row r="311">
      <c r="A311" s="6" t="n">
        <v>105</v>
      </c>
      <c r="B311" s="6" t="inlineStr">
        <is>
          <t>上午</t>
        </is>
      </c>
      <c r="C311" s="6">
        <f>IFERROR(TEXTBEFORE('周计划明细'!D105,":"),"")</f>
        <v/>
      </c>
      <c r="D311" s="6">
        <f>IFERROR(VALUE(TEXTBEFORE(TEXTAFTER('周计划明细'!D105,"|"),"h")),0)</f>
        <v/>
      </c>
    </row>
    <row r="312">
      <c r="A312" s="6" t="n">
        <v>105</v>
      </c>
      <c r="B312" s="6" t="inlineStr">
        <is>
          <t>下午</t>
        </is>
      </c>
      <c r="C312" s="6">
        <f>IFERROR(TEXTBEFORE('周计划明细'!E105,":"),"")</f>
        <v/>
      </c>
      <c r="D312" s="6">
        <f>IFERROR(VALUE(TEXTBEFORE(TEXTAFTER('周计划明细'!E105,"|"),"h")),0)</f>
        <v/>
      </c>
    </row>
    <row r="313">
      <c r="A313" s="6" t="n">
        <v>105</v>
      </c>
      <c r="B313" s="6" t="inlineStr">
        <is>
          <t>晚上</t>
        </is>
      </c>
      <c r="C313" s="6">
        <f>IFERROR(TEXTBEFORE('周计划明细'!F105,":"),"")</f>
        <v/>
      </c>
      <c r="D313" s="6">
        <f>IFERROR(VALUE(TEXTBEFORE(TEXTAFTER('周计划明细'!F105,"|"),"h")),0)</f>
        <v/>
      </c>
    </row>
    <row r="314">
      <c r="A314" s="6" t="n">
        <v>106</v>
      </c>
      <c r="B314" s="6" t="inlineStr">
        <is>
          <t>上午</t>
        </is>
      </c>
      <c r="C314" s="6">
        <f>IFERROR(TEXTBEFORE('周计划明细'!D106,":"),"")</f>
        <v/>
      </c>
      <c r="D314" s="6">
        <f>IFERROR(VALUE(TEXTBEFORE(TEXTAFTER('周计划明细'!D106,"|"),"h")),0)</f>
        <v/>
      </c>
    </row>
    <row r="315">
      <c r="A315" s="6" t="n">
        <v>106</v>
      </c>
      <c r="B315" s="6" t="inlineStr">
        <is>
          <t>下午</t>
        </is>
      </c>
      <c r="C315" s="6">
        <f>IFERROR(TEXTBEFORE('周计划明细'!E106,":"),"")</f>
        <v/>
      </c>
      <c r="D315" s="6">
        <f>IFERROR(VALUE(TEXTBEFORE(TEXTAFTER('周计划明细'!E106,"|"),"h")),0)</f>
        <v/>
      </c>
    </row>
    <row r="316">
      <c r="A316" s="6" t="n">
        <v>106</v>
      </c>
      <c r="B316" s="6" t="inlineStr">
        <is>
          <t>晚上</t>
        </is>
      </c>
      <c r="C316" s="6">
        <f>IFERROR(TEXTBEFORE('周计划明细'!F106,":"),"")</f>
        <v/>
      </c>
      <c r="D316" s="6">
        <f>IFERROR(VALUE(TEXTBEFORE(TEXTAFTER('周计划明细'!F106,"|"),"h")),0)</f>
        <v/>
      </c>
    </row>
    <row r="317">
      <c r="A317" s="6" t="n">
        <v>107</v>
      </c>
      <c r="B317" s="6" t="inlineStr">
        <is>
          <t>上午</t>
        </is>
      </c>
      <c r="C317" s="6">
        <f>IFERROR(TEXTBEFORE('周计划明细'!D107,":"),"")</f>
        <v/>
      </c>
      <c r="D317" s="6">
        <f>IFERROR(VALUE(TEXTBEFORE(TEXTAFTER('周计划明细'!D107,"|"),"h")),0)</f>
        <v/>
      </c>
    </row>
    <row r="318">
      <c r="A318" s="6" t="n">
        <v>107</v>
      </c>
      <c r="B318" s="6" t="inlineStr">
        <is>
          <t>下午</t>
        </is>
      </c>
      <c r="C318" s="6">
        <f>IFERROR(TEXTBEFORE('周计划明细'!E107,":"),"")</f>
        <v/>
      </c>
      <c r="D318" s="6">
        <f>IFERROR(VALUE(TEXTBEFORE(TEXTAFTER('周计划明细'!E107,"|"),"h")),0)</f>
        <v/>
      </c>
    </row>
    <row r="319">
      <c r="A319" s="6" t="n">
        <v>107</v>
      </c>
      <c r="B319" s="6" t="inlineStr">
        <is>
          <t>晚上</t>
        </is>
      </c>
      <c r="C319" s="6">
        <f>IFERROR(TEXTBEFORE('周计划明细'!F107,":"),"")</f>
        <v/>
      </c>
      <c r="D319" s="6">
        <f>IFERROR(VALUE(TEXTBEFORE(TEXTAFTER('周计划明细'!F107,"|"),"h")),0)</f>
        <v/>
      </c>
    </row>
    <row r="320">
      <c r="A320" s="6" t="n">
        <v>108</v>
      </c>
      <c r="B320" s="6" t="inlineStr">
        <is>
          <t>上午</t>
        </is>
      </c>
      <c r="C320" s="6">
        <f>IFERROR(TEXTBEFORE('周计划明细'!D108,":"),"")</f>
        <v/>
      </c>
      <c r="D320" s="6">
        <f>IFERROR(VALUE(TEXTBEFORE(TEXTAFTER('周计划明细'!D108,"|"),"h")),0)</f>
        <v/>
      </c>
    </row>
    <row r="321">
      <c r="A321" s="6" t="n">
        <v>108</v>
      </c>
      <c r="B321" s="6" t="inlineStr">
        <is>
          <t>下午</t>
        </is>
      </c>
      <c r="C321" s="6">
        <f>IFERROR(TEXTBEFORE('周计划明细'!E108,":"),"")</f>
        <v/>
      </c>
      <c r="D321" s="6">
        <f>IFERROR(VALUE(TEXTBEFORE(TEXTAFTER('周计划明细'!E108,"|"),"h")),0)</f>
        <v/>
      </c>
    </row>
    <row r="322">
      <c r="A322" s="6" t="n">
        <v>108</v>
      </c>
      <c r="B322" s="6" t="inlineStr">
        <is>
          <t>晚上</t>
        </is>
      </c>
      <c r="C322" s="6">
        <f>IFERROR(TEXTBEFORE('周计划明细'!F108,":"),"")</f>
        <v/>
      </c>
      <c r="D322" s="6">
        <f>IFERROR(VALUE(TEXTBEFORE(TEXTAFTER('周计划明细'!F108,"|"),"h")),0)</f>
        <v/>
      </c>
    </row>
    <row r="323">
      <c r="A323" s="6" t="n">
        <v>109</v>
      </c>
      <c r="B323" s="6" t="inlineStr">
        <is>
          <t>上午</t>
        </is>
      </c>
      <c r="C323" s="6">
        <f>IFERROR(TEXTBEFORE('周计划明细'!D109,":"),"")</f>
        <v/>
      </c>
      <c r="D323" s="6">
        <f>IFERROR(VALUE(TEXTBEFORE(TEXTAFTER('周计划明细'!D109,"|"),"h")),0)</f>
        <v/>
      </c>
    </row>
    <row r="324">
      <c r="A324" s="6" t="n">
        <v>109</v>
      </c>
      <c r="B324" s="6" t="inlineStr">
        <is>
          <t>下午</t>
        </is>
      </c>
      <c r="C324" s="6">
        <f>IFERROR(TEXTBEFORE('周计划明细'!E109,":"),"")</f>
        <v/>
      </c>
      <c r="D324" s="6">
        <f>IFERROR(VALUE(TEXTBEFORE(TEXTAFTER('周计划明细'!E109,"|"),"h")),0)</f>
        <v/>
      </c>
    </row>
    <row r="325">
      <c r="A325" s="6" t="n">
        <v>109</v>
      </c>
      <c r="B325" s="6" t="inlineStr">
        <is>
          <t>晚上</t>
        </is>
      </c>
      <c r="C325" s="6">
        <f>IFERROR(TEXTBEFORE('周计划明细'!F109,":"),"")</f>
        <v/>
      </c>
      <c r="D325" s="6">
        <f>IFERROR(VALUE(TEXTBEFORE(TEXTAFTER('周计划明细'!F109,"|"),"h")),0)</f>
        <v/>
      </c>
    </row>
    <row r="326">
      <c r="A326" s="6" t="n">
        <v>110</v>
      </c>
      <c r="B326" s="6" t="inlineStr">
        <is>
          <t>上午</t>
        </is>
      </c>
      <c r="C326" s="6">
        <f>IFERROR(TEXTBEFORE('周计划明细'!D110,":"),"")</f>
        <v/>
      </c>
      <c r="D326" s="6">
        <f>IFERROR(VALUE(TEXTBEFORE(TEXTAFTER('周计划明细'!D110,"|"),"h")),0)</f>
        <v/>
      </c>
    </row>
    <row r="327">
      <c r="A327" s="6" t="n">
        <v>110</v>
      </c>
      <c r="B327" s="6" t="inlineStr">
        <is>
          <t>下午</t>
        </is>
      </c>
      <c r="C327" s="6">
        <f>IFERROR(TEXTBEFORE('周计划明细'!E110,":"),"")</f>
        <v/>
      </c>
      <c r="D327" s="6">
        <f>IFERROR(VALUE(TEXTBEFORE(TEXTAFTER('周计划明细'!E110,"|"),"h")),0)</f>
        <v/>
      </c>
    </row>
    <row r="328">
      <c r="A328" s="6" t="n">
        <v>110</v>
      </c>
      <c r="B328" s="6" t="inlineStr">
        <is>
          <t>晚上</t>
        </is>
      </c>
      <c r="C328" s="6">
        <f>IFERROR(TEXTBEFORE('周计划明细'!F110,":"),"")</f>
        <v/>
      </c>
      <c r="D328" s="6">
        <f>IFERROR(VALUE(TEXTBEFORE(TEXTAFTER('周计划明细'!F110,"|"),"h")),0)</f>
        <v/>
      </c>
    </row>
    <row r="329">
      <c r="A329" s="6" t="n">
        <v>111</v>
      </c>
      <c r="B329" s="6" t="inlineStr">
        <is>
          <t>上午</t>
        </is>
      </c>
      <c r="C329" s="6">
        <f>IFERROR(TEXTBEFORE('周计划明细'!D111,":"),"")</f>
        <v/>
      </c>
      <c r="D329" s="6">
        <f>IFERROR(VALUE(TEXTBEFORE(TEXTAFTER('周计划明细'!D111,"|"),"h")),0)</f>
        <v/>
      </c>
    </row>
    <row r="330">
      <c r="A330" s="6" t="n">
        <v>111</v>
      </c>
      <c r="B330" s="6" t="inlineStr">
        <is>
          <t>下午</t>
        </is>
      </c>
      <c r="C330" s="6">
        <f>IFERROR(TEXTBEFORE('周计划明细'!E111,":"),"")</f>
        <v/>
      </c>
      <c r="D330" s="6">
        <f>IFERROR(VALUE(TEXTBEFORE(TEXTAFTER('周计划明细'!E111,"|"),"h")),0)</f>
        <v/>
      </c>
    </row>
    <row r="331">
      <c r="A331" s="6" t="n">
        <v>111</v>
      </c>
      <c r="B331" s="6" t="inlineStr">
        <is>
          <t>晚上</t>
        </is>
      </c>
      <c r="C331" s="6">
        <f>IFERROR(TEXTBEFORE('周计划明细'!F111,":"),"")</f>
        <v/>
      </c>
      <c r="D331" s="6">
        <f>IFERROR(VALUE(TEXTBEFORE(TEXTAFTER('周计划明细'!F111,"|"),"h")),0)</f>
        <v/>
      </c>
    </row>
    <row r="332">
      <c r="A332" s="6" t="n">
        <v>112</v>
      </c>
      <c r="B332" s="6" t="inlineStr">
        <is>
          <t>上午</t>
        </is>
      </c>
      <c r="C332" s="6">
        <f>IFERROR(TEXTBEFORE('周计划明细'!D112,":"),"")</f>
        <v/>
      </c>
      <c r="D332" s="6">
        <f>IFERROR(VALUE(TEXTBEFORE(TEXTAFTER('周计划明细'!D112,"|"),"h")),0)</f>
        <v/>
      </c>
    </row>
    <row r="333">
      <c r="A333" s="6" t="n">
        <v>112</v>
      </c>
      <c r="B333" s="6" t="inlineStr">
        <is>
          <t>下午</t>
        </is>
      </c>
      <c r="C333" s="6">
        <f>IFERROR(TEXTBEFORE('周计划明细'!E112,":"),"")</f>
        <v/>
      </c>
      <c r="D333" s="6">
        <f>IFERROR(VALUE(TEXTBEFORE(TEXTAFTER('周计划明细'!E112,"|"),"h")),0)</f>
        <v/>
      </c>
    </row>
    <row r="334">
      <c r="A334" s="6" t="n">
        <v>112</v>
      </c>
      <c r="B334" s="6" t="inlineStr">
        <is>
          <t>晚上</t>
        </is>
      </c>
      <c r="C334" s="6">
        <f>IFERROR(TEXTBEFORE('周计划明细'!F112,":"),"")</f>
        <v/>
      </c>
      <c r="D334" s="6">
        <f>IFERROR(VALUE(TEXTBEFORE(TEXTAFTER('周计划明细'!F112,"|"),"h")),0)</f>
        <v/>
      </c>
    </row>
    <row r="335">
      <c r="A335" s="6" t="n">
        <v>113</v>
      </c>
      <c r="B335" s="6" t="inlineStr">
        <is>
          <t>上午</t>
        </is>
      </c>
      <c r="C335" s="6">
        <f>IFERROR(TEXTBEFORE('周计划明细'!D113,":"),"")</f>
        <v/>
      </c>
      <c r="D335" s="6">
        <f>IFERROR(VALUE(TEXTBEFORE(TEXTAFTER('周计划明细'!D113,"|"),"h")),0)</f>
        <v/>
      </c>
    </row>
    <row r="336">
      <c r="A336" s="6" t="n">
        <v>113</v>
      </c>
      <c r="B336" s="6" t="inlineStr">
        <is>
          <t>下午</t>
        </is>
      </c>
      <c r="C336" s="6">
        <f>IFERROR(TEXTBEFORE('周计划明细'!E113,":"),"")</f>
        <v/>
      </c>
      <c r="D336" s="6">
        <f>IFERROR(VALUE(TEXTBEFORE(TEXTAFTER('周计划明细'!E113,"|"),"h")),0)</f>
        <v/>
      </c>
    </row>
    <row r="337">
      <c r="A337" s="6" t="n">
        <v>113</v>
      </c>
      <c r="B337" s="6" t="inlineStr">
        <is>
          <t>晚上</t>
        </is>
      </c>
      <c r="C337" s="6">
        <f>IFERROR(TEXTBEFORE('周计划明细'!F113,":"),"")</f>
        <v/>
      </c>
      <c r="D337" s="6">
        <f>IFERROR(VALUE(TEXTBEFORE(TEXTAFTER('周计划明细'!F113,"|"),"h")),0)</f>
        <v/>
      </c>
    </row>
    <row r="338">
      <c r="A338" s="6" t="n">
        <v>114</v>
      </c>
      <c r="B338" s="6" t="inlineStr">
        <is>
          <t>上午</t>
        </is>
      </c>
      <c r="C338" s="6">
        <f>IFERROR(TEXTBEFORE('周计划明细'!D114,":"),"")</f>
        <v/>
      </c>
      <c r="D338" s="6">
        <f>IFERROR(VALUE(TEXTBEFORE(TEXTAFTER('周计划明细'!D114,"|"),"h")),0)</f>
        <v/>
      </c>
    </row>
    <row r="339">
      <c r="A339" s="6" t="n">
        <v>114</v>
      </c>
      <c r="B339" s="6" t="inlineStr">
        <is>
          <t>下午</t>
        </is>
      </c>
      <c r="C339" s="6">
        <f>IFERROR(TEXTBEFORE('周计划明细'!E114,":"),"")</f>
        <v/>
      </c>
      <c r="D339" s="6">
        <f>IFERROR(VALUE(TEXTBEFORE(TEXTAFTER('周计划明细'!E114,"|"),"h")),0)</f>
        <v/>
      </c>
    </row>
    <row r="340">
      <c r="A340" s="6" t="n">
        <v>114</v>
      </c>
      <c r="B340" s="6" t="inlineStr">
        <is>
          <t>晚上</t>
        </is>
      </c>
      <c r="C340" s="6">
        <f>IFERROR(TEXTBEFORE('周计划明细'!F114,":"),"")</f>
        <v/>
      </c>
      <c r="D340" s="6">
        <f>IFERROR(VALUE(TEXTBEFORE(TEXTAFTER('周计划明细'!F114,"|"),"h")),0)</f>
        <v/>
      </c>
    </row>
    <row r="341">
      <c r="A341" s="6" t="n">
        <v>115</v>
      </c>
      <c r="B341" s="6" t="inlineStr">
        <is>
          <t>上午</t>
        </is>
      </c>
      <c r="C341" s="6">
        <f>IFERROR(TEXTBEFORE('周计划明细'!D115,":"),"")</f>
        <v/>
      </c>
      <c r="D341" s="6">
        <f>IFERROR(VALUE(TEXTBEFORE(TEXTAFTER('周计划明细'!D115,"|"),"h")),0)</f>
        <v/>
      </c>
    </row>
    <row r="342">
      <c r="A342" s="6" t="n">
        <v>115</v>
      </c>
      <c r="B342" s="6" t="inlineStr">
        <is>
          <t>下午</t>
        </is>
      </c>
      <c r="C342" s="6">
        <f>IFERROR(TEXTBEFORE('周计划明细'!E115,":"),"")</f>
        <v/>
      </c>
      <c r="D342" s="6">
        <f>IFERROR(VALUE(TEXTBEFORE(TEXTAFTER('周计划明细'!E115,"|"),"h")),0)</f>
        <v/>
      </c>
    </row>
    <row r="343">
      <c r="A343" s="6" t="n">
        <v>115</v>
      </c>
      <c r="B343" s="6" t="inlineStr">
        <is>
          <t>晚上</t>
        </is>
      </c>
      <c r="C343" s="6">
        <f>IFERROR(TEXTBEFORE('周计划明细'!F115,":"),"")</f>
        <v/>
      </c>
      <c r="D343" s="6">
        <f>IFERROR(VALUE(TEXTBEFORE(TEXTAFTER('周计划明细'!F115,"|"),"h")),0)</f>
        <v/>
      </c>
    </row>
    <row r="344">
      <c r="A344" s="6" t="n">
        <v>116</v>
      </c>
      <c r="B344" s="6" t="inlineStr">
        <is>
          <t>上午</t>
        </is>
      </c>
      <c r="C344" s="6">
        <f>IFERROR(TEXTBEFORE('周计划明细'!D116,":"),"")</f>
        <v/>
      </c>
      <c r="D344" s="6">
        <f>IFERROR(VALUE(TEXTBEFORE(TEXTAFTER('周计划明细'!D116,"|"),"h")),0)</f>
        <v/>
      </c>
    </row>
    <row r="345">
      <c r="A345" s="6" t="n">
        <v>116</v>
      </c>
      <c r="B345" s="6" t="inlineStr">
        <is>
          <t>下午</t>
        </is>
      </c>
      <c r="C345" s="6">
        <f>IFERROR(TEXTBEFORE('周计划明细'!E116,":"),"")</f>
        <v/>
      </c>
      <c r="D345" s="6">
        <f>IFERROR(VALUE(TEXTBEFORE(TEXTAFTER('周计划明细'!E116,"|"),"h")),0)</f>
        <v/>
      </c>
    </row>
    <row r="346">
      <c r="A346" s="6" t="n">
        <v>116</v>
      </c>
      <c r="B346" s="6" t="inlineStr">
        <is>
          <t>晚上</t>
        </is>
      </c>
      <c r="C346" s="6">
        <f>IFERROR(TEXTBEFORE('周计划明细'!F116,":"),"")</f>
        <v/>
      </c>
      <c r="D346" s="6">
        <f>IFERROR(VALUE(TEXTBEFORE(TEXTAFTER('周计划明细'!F116,"|"),"h")),0)</f>
        <v/>
      </c>
    </row>
    <row r="347">
      <c r="A347" s="6" t="n">
        <v>117</v>
      </c>
      <c r="B347" s="6" t="inlineStr">
        <is>
          <t>上午</t>
        </is>
      </c>
      <c r="C347" s="6">
        <f>IFERROR(TEXTBEFORE('周计划明细'!D117,":"),"")</f>
        <v/>
      </c>
      <c r="D347" s="6">
        <f>IFERROR(VALUE(TEXTBEFORE(TEXTAFTER('周计划明细'!D117,"|"),"h")),0)</f>
        <v/>
      </c>
    </row>
    <row r="348">
      <c r="A348" s="6" t="n">
        <v>117</v>
      </c>
      <c r="B348" s="6" t="inlineStr">
        <is>
          <t>下午</t>
        </is>
      </c>
      <c r="C348" s="6">
        <f>IFERROR(TEXTBEFORE('周计划明细'!E117,":"),"")</f>
        <v/>
      </c>
      <c r="D348" s="6">
        <f>IFERROR(VALUE(TEXTBEFORE(TEXTAFTER('周计划明细'!E117,"|"),"h")),0)</f>
        <v/>
      </c>
    </row>
    <row r="349">
      <c r="A349" s="6" t="n">
        <v>117</v>
      </c>
      <c r="B349" s="6" t="inlineStr">
        <is>
          <t>晚上</t>
        </is>
      </c>
      <c r="C349" s="6">
        <f>IFERROR(TEXTBEFORE('周计划明细'!F117,":"),"")</f>
        <v/>
      </c>
      <c r="D349" s="6">
        <f>IFERROR(VALUE(TEXTBEFORE(TEXTAFTER('周计划明细'!F117,"|"),"h")),0)</f>
        <v/>
      </c>
    </row>
    <row r="350">
      <c r="A350" s="6" t="n">
        <v>118</v>
      </c>
      <c r="B350" s="6" t="inlineStr">
        <is>
          <t>上午</t>
        </is>
      </c>
      <c r="C350" s="6">
        <f>IFERROR(TEXTBEFORE('周计划明细'!D118,":"),"")</f>
        <v/>
      </c>
      <c r="D350" s="6">
        <f>IFERROR(VALUE(TEXTBEFORE(TEXTAFTER('周计划明细'!D118,"|"),"h")),0)</f>
        <v/>
      </c>
    </row>
    <row r="351">
      <c r="A351" s="6" t="n">
        <v>118</v>
      </c>
      <c r="B351" s="6" t="inlineStr">
        <is>
          <t>下午</t>
        </is>
      </c>
      <c r="C351" s="6">
        <f>IFERROR(TEXTBEFORE('周计划明细'!E118,":"),"")</f>
        <v/>
      </c>
      <c r="D351" s="6">
        <f>IFERROR(VALUE(TEXTBEFORE(TEXTAFTER('周计划明细'!E118,"|"),"h")),0)</f>
        <v/>
      </c>
    </row>
    <row r="352">
      <c r="A352" s="6" t="n">
        <v>118</v>
      </c>
      <c r="B352" s="6" t="inlineStr">
        <is>
          <t>晚上</t>
        </is>
      </c>
      <c r="C352" s="6">
        <f>IFERROR(TEXTBEFORE('周计划明细'!F118,":"),"")</f>
        <v/>
      </c>
      <c r="D352" s="6">
        <f>IFERROR(VALUE(TEXTBEFORE(TEXTAFTER('周计划明细'!F118,"|"),"h")),0)</f>
        <v/>
      </c>
    </row>
    <row r="353">
      <c r="A353" s="6" t="n">
        <v>119</v>
      </c>
      <c r="B353" s="6" t="inlineStr">
        <is>
          <t>上午</t>
        </is>
      </c>
      <c r="C353" s="6">
        <f>IFERROR(TEXTBEFORE('周计划明细'!D119,":"),"")</f>
        <v/>
      </c>
      <c r="D353" s="6">
        <f>IFERROR(VALUE(TEXTBEFORE(TEXTAFTER('周计划明细'!D119,"|"),"h")),0)</f>
        <v/>
      </c>
    </row>
    <row r="354">
      <c r="A354" s="6" t="n">
        <v>119</v>
      </c>
      <c r="B354" s="6" t="inlineStr">
        <is>
          <t>下午</t>
        </is>
      </c>
      <c r="C354" s="6">
        <f>IFERROR(TEXTBEFORE('周计划明细'!E119,":"),"")</f>
        <v/>
      </c>
      <c r="D354" s="6">
        <f>IFERROR(VALUE(TEXTBEFORE(TEXTAFTER('周计划明细'!E119,"|"),"h")),0)</f>
        <v/>
      </c>
    </row>
    <row r="355">
      <c r="A355" s="6" t="n">
        <v>119</v>
      </c>
      <c r="B355" s="6" t="inlineStr">
        <is>
          <t>晚上</t>
        </is>
      </c>
      <c r="C355" s="6">
        <f>IFERROR(TEXTBEFORE('周计划明细'!F119,":"),"")</f>
        <v/>
      </c>
      <c r="D355" s="6">
        <f>IFERROR(VALUE(TEXTBEFORE(TEXTAFTER('周计划明细'!F119,"|"),"h")),0)</f>
        <v/>
      </c>
    </row>
    <row r="356">
      <c r="A356" s="6" t="n">
        <v>120</v>
      </c>
      <c r="B356" s="6" t="inlineStr">
        <is>
          <t>上午</t>
        </is>
      </c>
      <c r="C356" s="6">
        <f>IFERROR(TEXTBEFORE('周计划明细'!D120,":"),"")</f>
        <v/>
      </c>
      <c r="D356" s="6">
        <f>IFERROR(VALUE(TEXTBEFORE(TEXTAFTER('周计划明细'!D120,"|"),"h")),0)</f>
        <v/>
      </c>
    </row>
    <row r="357">
      <c r="A357" s="6" t="n">
        <v>120</v>
      </c>
      <c r="B357" s="6" t="inlineStr">
        <is>
          <t>下午</t>
        </is>
      </c>
      <c r="C357" s="6">
        <f>IFERROR(TEXTBEFORE('周计划明细'!E120,":"),"")</f>
        <v/>
      </c>
      <c r="D357" s="6">
        <f>IFERROR(VALUE(TEXTBEFORE(TEXTAFTER('周计划明细'!E120,"|"),"h")),0)</f>
        <v/>
      </c>
    </row>
    <row r="358">
      <c r="A358" s="6" t="n">
        <v>120</v>
      </c>
      <c r="B358" s="6" t="inlineStr">
        <is>
          <t>晚上</t>
        </is>
      </c>
      <c r="C358" s="6">
        <f>IFERROR(TEXTBEFORE('周计划明细'!F120,":"),"")</f>
        <v/>
      </c>
      <c r="D358" s="6">
        <f>IFERROR(VALUE(TEXTBEFORE(TEXTAFTER('周计划明细'!F120,"|"),"h")),0)</f>
        <v/>
      </c>
    </row>
    <row r="359">
      <c r="A359" s="6" t="n">
        <v>121</v>
      </c>
      <c r="B359" s="6" t="inlineStr">
        <is>
          <t>上午</t>
        </is>
      </c>
      <c r="C359" s="6">
        <f>IFERROR(TEXTBEFORE('周计划明细'!D121,":"),"")</f>
        <v/>
      </c>
      <c r="D359" s="6">
        <f>IFERROR(VALUE(TEXTBEFORE(TEXTAFTER('周计划明细'!D121,"|"),"h")),0)</f>
        <v/>
      </c>
    </row>
    <row r="360">
      <c r="A360" s="6" t="n">
        <v>121</v>
      </c>
      <c r="B360" s="6" t="inlineStr">
        <is>
          <t>下午</t>
        </is>
      </c>
      <c r="C360" s="6">
        <f>IFERROR(TEXTBEFORE('周计划明细'!E121,":"),"")</f>
        <v/>
      </c>
      <c r="D360" s="6">
        <f>IFERROR(VALUE(TEXTBEFORE(TEXTAFTER('周计划明细'!E121,"|"),"h")),0)</f>
        <v/>
      </c>
    </row>
    <row r="361">
      <c r="A361" s="6" t="n">
        <v>121</v>
      </c>
      <c r="B361" s="6" t="inlineStr">
        <is>
          <t>晚上</t>
        </is>
      </c>
      <c r="C361" s="6">
        <f>IFERROR(TEXTBEFORE('周计划明细'!F121,":"),"")</f>
        <v/>
      </c>
      <c r="D361" s="6">
        <f>IFERROR(VALUE(TEXTBEFORE(TEXTAFTER('周计划明细'!F121,"|"),"h")),0)</f>
        <v/>
      </c>
    </row>
    <row r="362">
      <c r="A362" s="6" t="n">
        <v>122</v>
      </c>
      <c r="B362" s="6" t="inlineStr">
        <is>
          <t>上午</t>
        </is>
      </c>
      <c r="C362" s="6">
        <f>IFERROR(TEXTBEFORE('周计划明细'!D122,":"),"")</f>
        <v/>
      </c>
      <c r="D362" s="6">
        <f>IFERROR(VALUE(TEXTBEFORE(TEXTAFTER('周计划明细'!D122,"|"),"h")),0)</f>
        <v/>
      </c>
    </row>
    <row r="363">
      <c r="A363" s="6" t="n">
        <v>122</v>
      </c>
      <c r="B363" s="6" t="inlineStr">
        <is>
          <t>下午</t>
        </is>
      </c>
      <c r="C363" s="6">
        <f>IFERROR(TEXTBEFORE('周计划明细'!E122,":"),"")</f>
        <v/>
      </c>
      <c r="D363" s="6">
        <f>IFERROR(VALUE(TEXTBEFORE(TEXTAFTER('周计划明细'!E122,"|"),"h")),0)</f>
        <v/>
      </c>
    </row>
    <row r="364">
      <c r="A364" s="6" t="n">
        <v>122</v>
      </c>
      <c r="B364" s="6" t="inlineStr">
        <is>
          <t>晚上</t>
        </is>
      </c>
      <c r="C364" s="6">
        <f>IFERROR(TEXTBEFORE('周计划明细'!F122,":"),"")</f>
        <v/>
      </c>
      <c r="D364" s="6">
        <f>IFERROR(VALUE(TEXTBEFORE(TEXTAFTER('周计划明细'!F122,"|"),"h")),0)</f>
        <v/>
      </c>
    </row>
    <row r="365">
      <c r="A365" s="6" t="n">
        <v>123</v>
      </c>
      <c r="B365" s="6" t="inlineStr">
        <is>
          <t>上午</t>
        </is>
      </c>
      <c r="C365" s="6">
        <f>IFERROR(TEXTBEFORE('周计划明细'!D123,":"),"")</f>
        <v/>
      </c>
      <c r="D365" s="6">
        <f>IFERROR(VALUE(TEXTBEFORE(TEXTAFTER('周计划明细'!D123,"|"),"h")),0)</f>
        <v/>
      </c>
    </row>
    <row r="366">
      <c r="A366" s="6" t="n">
        <v>123</v>
      </c>
      <c r="B366" s="6" t="inlineStr">
        <is>
          <t>下午</t>
        </is>
      </c>
      <c r="C366" s="6">
        <f>IFERROR(TEXTBEFORE('周计划明细'!E123,":"),"")</f>
        <v/>
      </c>
      <c r="D366" s="6">
        <f>IFERROR(VALUE(TEXTBEFORE(TEXTAFTER('周计划明细'!E123,"|"),"h")),0)</f>
        <v/>
      </c>
    </row>
    <row r="367">
      <c r="A367" s="6" t="n">
        <v>123</v>
      </c>
      <c r="B367" s="6" t="inlineStr">
        <is>
          <t>晚上</t>
        </is>
      </c>
      <c r="C367" s="6">
        <f>IFERROR(TEXTBEFORE('周计划明细'!F123,":"),"")</f>
        <v/>
      </c>
      <c r="D367" s="6">
        <f>IFERROR(VALUE(TEXTBEFORE(TEXTAFTER('周计划明细'!F123,"|"),"h")),0)</f>
        <v/>
      </c>
    </row>
    <row r="368">
      <c r="A368" s="6" t="n">
        <v>124</v>
      </c>
      <c r="B368" s="6" t="inlineStr">
        <is>
          <t>上午</t>
        </is>
      </c>
      <c r="C368" s="6">
        <f>IFERROR(TEXTBEFORE('周计划明细'!D124,":"),"")</f>
        <v/>
      </c>
      <c r="D368" s="6">
        <f>IFERROR(VALUE(TEXTBEFORE(TEXTAFTER('周计划明细'!D124,"|"),"h")),0)</f>
        <v/>
      </c>
    </row>
    <row r="369">
      <c r="A369" s="6" t="n">
        <v>124</v>
      </c>
      <c r="B369" s="6" t="inlineStr">
        <is>
          <t>下午</t>
        </is>
      </c>
      <c r="C369" s="6">
        <f>IFERROR(TEXTBEFORE('周计划明细'!E124,":"),"")</f>
        <v/>
      </c>
      <c r="D369" s="6">
        <f>IFERROR(VALUE(TEXTBEFORE(TEXTAFTER('周计划明细'!E124,"|"),"h")),0)</f>
        <v/>
      </c>
    </row>
    <row r="370">
      <c r="A370" s="6" t="n">
        <v>124</v>
      </c>
      <c r="B370" s="6" t="inlineStr">
        <is>
          <t>晚上</t>
        </is>
      </c>
      <c r="C370" s="6">
        <f>IFERROR(TEXTBEFORE('周计划明细'!F124,":"),"")</f>
        <v/>
      </c>
      <c r="D370" s="6">
        <f>IFERROR(VALUE(TEXTBEFORE(TEXTAFTER('周计划明细'!F124,"|"),"h")),0)</f>
        <v/>
      </c>
    </row>
    <row r="371">
      <c r="A371" s="6" t="n">
        <v>125</v>
      </c>
      <c r="B371" s="6" t="inlineStr">
        <is>
          <t>上午</t>
        </is>
      </c>
      <c r="C371" s="6">
        <f>IFERROR(TEXTBEFORE('周计划明细'!D125,":"),"")</f>
        <v/>
      </c>
      <c r="D371" s="6">
        <f>IFERROR(VALUE(TEXTBEFORE(TEXTAFTER('周计划明细'!D125,"|"),"h")),0)</f>
        <v/>
      </c>
    </row>
    <row r="372">
      <c r="A372" s="6" t="n">
        <v>125</v>
      </c>
      <c r="B372" s="6" t="inlineStr">
        <is>
          <t>下午</t>
        </is>
      </c>
      <c r="C372" s="6">
        <f>IFERROR(TEXTBEFORE('周计划明细'!E125,":"),"")</f>
        <v/>
      </c>
      <c r="D372" s="6">
        <f>IFERROR(VALUE(TEXTBEFORE(TEXTAFTER('周计划明细'!E125,"|"),"h")),0)</f>
        <v/>
      </c>
    </row>
    <row r="373">
      <c r="A373" s="6" t="n">
        <v>125</v>
      </c>
      <c r="B373" s="6" t="inlineStr">
        <is>
          <t>晚上</t>
        </is>
      </c>
      <c r="C373" s="6">
        <f>IFERROR(TEXTBEFORE('周计划明细'!F125,":"),"")</f>
        <v/>
      </c>
      <c r="D373" s="6">
        <f>IFERROR(VALUE(TEXTBEFORE(TEXTAFTER('周计划明细'!F125,"|"),"h")),0)</f>
        <v/>
      </c>
    </row>
    <row r="374">
      <c r="A374" s="6" t="n">
        <v>126</v>
      </c>
      <c r="B374" s="6" t="inlineStr">
        <is>
          <t>上午</t>
        </is>
      </c>
      <c r="C374" s="6">
        <f>IFERROR(TEXTBEFORE('周计划明细'!D126,":"),"")</f>
        <v/>
      </c>
      <c r="D374" s="6">
        <f>IFERROR(VALUE(TEXTBEFORE(TEXTAFTER('周计划明细'!D126,"|"),"h")),0)</f>
        <v/>
      </c>
    </row>
    <row r="375">
      <c r="A375" s="6" t="n">
        <v>126</v>
      </c>
      <c r="B375" s="6" t="inlineStr">
        <is>
          <t>下午</t>
        </is>
      </c>
      <c r="C375" s="6">
        <f>IFERROR(TEXTBEFORE('周计划明细'!E126,":"),"")</f>
        <v/>
      </c>
      <c r="D375" s="6">
        <f>IFERROR(VALUE(TEXTBEFORE(TEXTAFTER('周计划明细'!E126,"|"),"h")),0)</f>
        <v/>
      </c>
    </row>
    <row r="376">
      <c r="A376" s="6" t="n">
        <v>126</v>
      </c>
      <c r="B376" s="6" t="inlineStr">
        <is>
          <t>晚上</t>
        </is>
      </c>
      <c r="C376" s="6">
        <f>IFERROR(TEXTBEFORE('周计划明细'!F126,":"),"")</f>
        <v/>
      </c>
      <c r="D376" s="6">
        <f>IFERROR(VALUE(TEXTBEFORE(TEXTAFTER('周计划明细'!F126,"|"),"h")),0)</f>
        <v/>
      </c>
    </row>
    <row r="377">
      <c r="A377" s="6" t="n">
        <v>127</v>
      </c>
      <c r="B377" s="6" t="inlineStr">
        <is>
          <t>上午</t>
        </is>
      </c>
      <c r="C377" s="6">
        <f>IFERROR(TEXTBEFORE('周计划明细'!D127,":"),"")</f>
        <v/>
      </c>
      <c r="D377" s="6">
        <f>IFERROR(VALUE(TEXTBEFORE(TEXTAFTER('周计划明细'!D127,"|"),"h")),0)</f>
        <v/>
      </c>
    </row>
    <row r="378">
      <c r="A378" s="6" t="n">
        <v>127</v>
      </c>
      <c r="B378" s="6" t="inlineStr">
        <is>
          <t>下午</t>
        </is>
      </c>
      <c r="C378" s="6">
        <f>IFERROR(TEXTBEFORE('周计划明细'!E127,":"),"")</f>
        <v/>
      </c>
      <c r="D378" s="6">
        <f>IFERROR(VALUE(TEXTBEFORE(TEXTAFTER('周计划明细'!E127,"|"),"h")),0)</f>
        <v/>
      </c>
    </row>
    <row r="379">
      <c r="A379" s="6" t="n">
        <v>127</v>
      </c>
      <c r="B379" s="6" t="inlineStr">
        <is>
          <t>晚上</t>
        </is>
      </c>
      <c r="C379" s="6">
        <f>IFERROR(TEXTBEFORE('周计划明细'!F127,":"),"")</f>
        <v/>
      </c>
      <c r="D379" s="6">
        <f>IFERROR(VALUE(TEXTBEFORE(TEXTAFTER('周计划明细'!F127,"|"),"h")),0)</f>
        <v/>
      </c>
    </row>
    <row r="380">
      <c r="A380" s="6" t="n">
        <v>128</v>
      </c>
      <c r="B380" s="6" t="inlineStr">
        <is>
          <t>上午</t>
        </is>
      </c>
      <c r="C380" s="6">
        <f>IFERROR(TEXTBEFORE('周计划明细'!D128,":"),"")</f>
        <v/>
      </c>
      <c r="D380" s="6">
        <f>IFERROR(VALUE(TEXTBEFORE(TEXTAFTER('周计划明细'!D128,"|"),"h")),0)</f>
        <v/>
      </c>
    </row>
    <row r="381">
      <c r="A381" s="6" t="n">
        <v>128</v>
      </c>
      <c r="B381" s="6" t="inlineStr">
        <is>
          <t>下午</t>
        </is>
      </c>
      <c r="C381" s="6">
        <f>IFERROR(TEXTBEFORE('周计划明细'!E128,":"),"")</f>
        <v/>
      </c>
      <c r="D381" s="6">
        <f>IFERROR(VALUE(TEXTBEFORE(TEXTAFTER('周计划明细'!E128,"|"),"h")),0)</f>
        <v/>
      </c>
    </row>
    <row r="382">
      <c r="A382" s="6" t="n">
        <v>128</v>
      </c>
      <c r="B382" s="6" t="inlineStr">
        <is>
          <t>晚上</t>
        </is>
      </c>
      <c r="C382" s="6">
        <f>IFERROR(TEXTBEFORE('周计划明细'!F128,":"),"")</f>
        <v/>
      </c>
      <c r="D382" s="6">
        <f>IFERROR(VALUE(TEXTBEFORE(TEXTAFTER('周计划明细'!F128,"|"),"h")),0)</f>
        <v/>
      </c>
    </row>
    <row r="383">
      <c r="A383" s="6" t="n">
        <v>129</v>
      </c>
      <c r="B383" s="6" t="inlineStr">
        <is>
          <t>上午</t>
        </is>
      </c>
      <c r="C383" s="6">
        <f>IFERROR(TEXTBEFORE('周计划明细'!D129,":"),"")</f>
        <v/>
      </c>
      <c r="D383" s="6">
        <f>IFERROR(VALUE(TEXTBEFORE(TEXTAFTER('周计划明细'!D129,"|"),"h")),0)</f>
        <v/>
      </c>
    </row>
    <row r="384">
      <c r="A384" s="6" t="n">
        <v>129</v>
      </c>
      <c r="B384" s="6" t="inlineStr">
        <is>
          <t>下午</t>
        </is>
      </c>
      <c r="C384" s="6">
        <f>IFERROR(TEXTBEFORE('周计划明细'!E129,":"),"")</f>
        <v/>
      </c>
      <c r="D384" s="6">
        <f>IFERROR(VALUE(TEXTBEFORE(TEXTAFTER('周计划明细'!E129,"|"),"h")),0)</f>
        <v/>
      </c>
    </row>
    <row r="385">
      <c r="A385" s="6" t="n">
        <v>129</v>
      </c>
      <c r="B385" s="6" t="inlineStr">
        <is>
          <t>晚上</t>
        </is>
      </c>
      <c r="C385" s="6">
        <f>IFERROR(TEXTBEFORE('周计划明细'!F129,":"),"")</f>
        <v/>
      </c>
      <c r="D385" s="6">
        <f>IFERROR(VALUE(TEXTBEFORE(TEXTAFTER('周计划明细'!F129,"|"),"h")),0)</f>
        <v/>
      </c>
    </row>
    <row r="386">
      <c r="A386" s="6" t="n">
        <v>130</v>
      </c>
      <c r="B386" s="6" t="inlineStr">
        <is>
          <t>上午</t>
        </is>
      </c>
      <c r="C386" s="6">
        <f>IFERROR(TEXTBEFORE('周计划明细'!D130,":"),"")</f>
        <v/>
      </c>
      <c r="D386" s="6">
        <f>IFERROR(VALUE(TEXTBEFORE(TEXTAFTER('周计划明细'!D130,"|"),"h")),0)</f>
        <v/>
      </c>
    </row>
    <row r="387">
      <c r="A387" s="6" t="n">
        <v>130</v>
      </c>
      <c r="B387" s="6" t="inlineStr">
        <is>
          <t>下午</t>
        </is>
      </c>
      <c r="C387" s="6">
        <f>IFERROR(TEXTBEFORE('周计划明细'!E130,":"),"")</f>
        <v/>
      </c>
      <c r="D387" s="6">
        <f>IFERROR(VALUE(TEXTBEFORE(TEXTAFTER('周计划明细'!E130,"|"),"h")),0)</f>
        <v/>
      </c>
    </row>
    <row r="388">
      <c r="A388" s="6" t="n">
        <v>130</v>
      </c>
      <c r="B388" s="6" t="inlineStr">
        <is>
          <t>晚上</t>
        </is>
      </c>
      <c r="C388" s="6">
        <f>IFERROR(TEXTBEFORE('周计划明细'!F130,":"),"")</f>
        <v/>
      </c>
      <c r="D388" s="6">
        <f>IFERROR(VALUE(TEXTBEFORE(TEXTAFTER('周计划明细'!F130,"|"),"h")),0)</f>
        <v/>
      </c>
    </row>
    <row r="389">
      <c r="A389" s="6" t="n">
        <v>131</v>
      </c>
      <c r="B389" s="6" t="inlineStr">
        <is>
          <t>上午</t>
        </is>
      </c>
      <c r="C389" s="6">
        <f>IFERROR(TEXTBEFORE('周计划明细'!D131,":"),"")</f>
        <v/>
      </c>
      <c r="D389" s="6">
        <f>IFERROR(VALUE(TEXTBEFORE(TEXTAFTER('周计划明细'!D131,"|"),"h")),0)</f>
        <v/>
      </c>
    </row>
    <row r="390">
      <c r="A390" s="6" t="n">
        <v>131</v>
      </c>
      <c r="B390" s="6" t="inlineStr">
        <is>
          <t>下午</t>
        </is>
      </c>
      <c r="C390" s="6">
        <f>IFERROR(TEXTBEFORE('周计划明细'!E131,":"),"")</f>
        <v/>
      </c>
      <c r="D390" s="6">
        <f>IFERROR(VALUE(TEXTBEFORE(TEXTAFTER('周计划明细'!E131,"|"),"h")),0)</f>
        <v/>
      </c>
    </row>
    <row r="391">
      <c r="A391" s="6" t="n">
        <v>131</v>
      </c>
      <c r="B391" s="6" t="inlineStr">
        <is>
          <t>晚上</t>
        </is>
      </c>
      <c r="C391" s="6">
        <f>IFERROR(TEXTBEFORE('周计划明细'!F131,":"),"")</f>
        <v/>
      </c>
      <c r="D391" s="6">
        <f>IFERROR(VALUE(TEXTBEFORE(TEXTAFTER('周计划明细'!F131,"|"),"h")),0)</f>
        <v/>
      </c>
    </row>
    <row r="392">
      <c r="A392" s="6" t="n">
        <v>132</v>
      </c>
      <c r="B392" s="6" t="inlineStr">
        <is>
          <t>上午</t>
        </is>
      </c>
      <c r="C392" s="6">
        <f>IFERROR(TEXTBEFORE('周计划明细'!D132,":"),"")</f>
        <v/>
      </c>
      <c r="D392" s="6">
        <f>IFERROR(VALUE(TEXTBEFORE(TEXTAFTER('周计划明细'!D132,"|"),"h")),0)</f>
        <v/>
      </c>
    </row>
    <row r="393">
      <c r="A393" s="6" t="n">
        <v>132</v>
      </c>
      <c r="B393" s="6" t="inlineStr">
        <is>
          <t>下午</t>
        </is>
      </c>
      <c r="C393" s="6">
        <f>IFERROR(TEXTBEFORE('周计划明细'!E132,":"),"")</f>
        <v/>
      </c>
      <c r="D393" s="6">
        <f>IFERROR(VALUE(TEXTBEFORE(TEXTAFTER('周计划明细'!E132,"|"),"h")),0)</f>
        <v/>
      </c>
    </row>
    <row r="394">
      <c r="A394" s="6" t="n">
        <v>132</v>
      </c>
      <c r="B394" s="6" t="inlineStr">
        <is>
          <t>晚上</t>
        </is>
      </c>
      <c r="C394" s="6">
        <f>IFERROR(TEXTBEFORE('周计划明细'!F132,":"),"")</f>
        <v/>
      </c>
      <c r="D394" s="6">
        <f>IFERROR(VALUE(TEXTBEFORE(TEXTAFTER('周计划明细'!F132,"|"),"h")),0)</f>
        <v/>
      </c>
    </row>
    <row r="395">
      <c r="A395" s="6" t="n">
        <v>133</v>
      </c>
      <c r="B395" s="6" t="inlineStr">
        <is>
          <t>上午</t>
        </is>
      </c>
      <c r="C395" s="6">
        <f>IFERROR(TEXTBEFORE('周计划明细'!D133,":"),"")</f>
        <v/>
      </c>
      <c r="D395" s="6">
        <f>IFERROR(VALUE(TEXTBEFORE(TEXTAFTER('周计划明细'!D133,"|"),"h")),0)</f>
        <v/>
      </c>
    </row>
    <row r="396">
      <c r="A396" s="6" t="n">
        <v>133</v>
      </c>
      <c r="B396" s="6" t="inlineStr">
        <is>
          <t>下午</t>
        </is>
      </c>
      <c r="C396" s="6">
        <f>IFERROR(TEXTBEFORE('周计划明细'!E133,":"),"")</f>
        <v/>
      </c>
      <c r="D396" s="6">
        <f>IFERROR(VALUE(TEXTBEFORE(TEXTAFTER('周计划明细'!E133,"|"),"h")),0)</f>
        <v/>
      </c>
    </row>
    <row r="397">
      <c r="A397" s="6" t="n">
        <v>133</v>
      </c>
      <c r="B397" s="6" t="inlineStr">
        <is>
          <t>晚上</t>
        </is>
      </c>
      <c r="C397" s="6">
        <f>IFERROR(TEXTBEFORE('周计划明细'!F133,":"),"")</f>
        <v/>
      </c>
      <c r="D397" s="6">
        <f>IFERROR(VALUE(TEXTBEFORE(TEXTAFTER('周计划明细'!F133,"|"),"h")),0)</f>
        <v/>
      </c>
    </row>
    <row r="398">
      <c r="A398" s="6" t="n">
        <v>134</v>
      </c>
      <c r="B398" s="6" t="inlineStr">
        <is>
          <t>上午</t>
        </is>
      </c>
      <c r="C398" s="6">
        <f>IFERROR(TEXTBEFORE('周计划明细'!D134,":"),"")</f>
        <v/>
      </c>
      <c r="D398" s="6">
        <f>IFERROR(VALUE(TEXTBEFORE(TEXTAFTER('周计划明细'!D134,"|"),"h")),0)</f>
        <v/>
      </c>
    </row>
    <row r="399">
      <c r="A399" s="6" t="n">
        <v>134</v>
      </c>
      <c r="B399" s="6" t="inlineStr">
        <is>
          <t>下午</t>
        </is>
      </c>
      <c r="C399" s="6">
        <f>IFERROR(TEXTBEFORE('周计划明细'!E134,":"),"")</f>
        <v/>
      </c>
      <c r="D399" s="6">
        <f>IFERROR(VALUE(TEXTBEFORE(TEXTAFTER('周计划明细'!E134,"|"),"h")),0)</f>
        <v/>
      </c>
    </row>
    <row r="400">
      <c r="A400" s="6" t="n">
        <v>134</v>
      </c>
      <c r="B400" s="6" t="inlineStr">
        <is>
          <t>晚上</t>
        </is>
      </c>
      <c r="C400" s="6">
        <f>IFERROR(TEXTBEFORE('周计划明细'!F134,":"),"")</f>
        <v/>
      </c>
      <c r="D400" s="6">
        <f>IFERROR(VALUE(TEXTBEFORE(TEXTAFTER('周计划明细'!F134,"|"),"h")),0)</f>
        <v/>
      </c>
    </row>
    <row r="401">
      <c r="A401" s="6" t="n">
        <v>135</v>
      </c>
      <c r="B401" s="6" t="inlineStr">
        <is>
          <t>上午</t>
        </is>
      </c>
      <c r="C401" s="6">
        <f>IFERROR(TEXTBEFORE('周计划明细'!D135,":"),"")</f>
        <v/>
      </c>
      <c r="D401" s="6">
        <f>IFERROR(VALUE(TEXTBEFORE(TEXTAFTER('周计划明细'!D135,"|"),"h")),0)</f>
        <v/>
      </c>
    </row>
    <row r="402">
      <c r="A402" s="6" t="n">
        <v>135</v>
      </c>
      <c r="B402" s="6" t="inlineStr">
        <is>
          <t>下午</t>
        </is>
      </c>
      <c r="C402" s="6">
        <f>IFERROR(TEXTBEFORE('周计划明细'!E135,":"),"")</f>
        <v/>
      </c>
      <c r="D402" s="6">
        <f>IFERROR(VALUE(TEXTBEFORE(TEXTAFTER('周计划明细'!E135,"|"),"h")),0)</f>
        <v/>
      </c>
    </row>
    <row r="403">
      <c r="A403" s="6" t="n">
        <v>135</v>
      </c>
      <c r="B403" s="6" t="inlineStr">
        <is>
          <t>晚上</t>
        </is>
      </c>
      <c r="C403" s="6">
        <f>IFERROR(TEXTBEFORE('周计划明细'!F135,":"),"")</f>
        <v/>
      </c>
      <c r="D403" s="6">
        <f>IFERROR(VALUE(TEXTBEFORE(TEXTAFTER('周计划明细'!F135,"|"),"h")),0)</f>
        <v/>
      </c>
    </row>
    <row r="404">
      <c r="A404" s="6" t="n">
        <v>136</v>
      </c>
      <c r="B404" s="6" t="inlineStr">
        <is>
          <t>上午</t>
        </is>
      </c>
      <c r="C404" s="6">
        <f>IFERROR(TEXTBEFORE('周计划明细'!D136,":"),"")</f>
        <v/>
      </c>
      <c r="D404" s="6">
        <f>IFERROR(VALUE(TEXTBEFORE(TEXTAFTER('周计划明细'!D136,"|"),"h")),0)</f>
        <v/>
      </c>
    </row>
    <row r="405">
      <c r="A405" s="6" t="n">
        <v>136</v>
      </c>
      <c r="B405" s="6" t="inlineStr">
        <is>
          <t>下午</t>
        </is>
      </c>
      <c r="C405" s="6">
        <f>IFERROR(TEXTBEFORE('周计划明细'!E136,":"),"")</f>
        <v/>
      </c>
      <c r="D405" s="6">
        <f>IFERROR(VALUE(TEXTBEFORE(TEXTAFTER('周计划明细'!E136,"|"),"h")),0)</f>
        <v/>
      </c>
    </row>
    <row r="406">
      <c r="A406" s="6" t="n">
        <v>136</v>
      </c>
      <c r="B406" s="6" t="inlineStr">
        <is>
          <t>晚上</t>
        </is>
      </c>
      <c r="C406" s="6">
        <f>IFERROR(TEXTBEFORE('周计划明细'!F136,":"),"")</f>
        <v/>
      </c>
      <c r="D406" s="6">
        <f>IFERROR(VALUE(TEXTBEFORE(TEXTAFTER('周计划明细'!F136,"|"),"h")),0)</f>
        <v/>
      </c>
    </row>
    <row r="407">
      <c r="A407" s="6" t="n">
        <v>137</v>
      </c>
      <c r="B407" s="6" t="inlineStr">
        <is>
          <t>上午</t>
        </is>
      </c>
      <c r="C407" s="6">
        <f>IFERROR(TEXTBEFORE('周计划明细'!D137,":"),"")</f>
        <v/>
      </c>
      <c r="D407" s="6">
        <f>IFERROR(VALUE(TEXTBEFORE(TEXTAFTER('周计划明细'!D137,"|"),"h")),0)</f>
        <v/>
      </c>
    </row>
    <row r="408">
      <c r="A408" s="6" t="n">
        <v>137</v>
      </c>
      <c r="B408" s="6" t="inlineStr">
        <is>
          <t>下午</t>
        </is>
      </c>
      <c r="C408" s="6">
        <f>IFERROR(TEXTBEFORE('周计划明细'!E137,":"),"")</f>
        <v/>
      </c>
      <c r="D408" s="6">
        <f>IFERROR(VALUE(TEXTBEFORE(TEXTAFTER('周计划明细'!E137,"|"),"h")),0)</f>
        <v/>
      </c>
    </row>
    <row r="409">
      <c r="A409" s="6" t="n">
        <v>137</v>
      </c>
      <c r="B409" s="6" t="inlineStr">
        <is>
          <t>晚上</t>
        </is>
      </c>
      <c r="C409" s="6">
        <f>IFERROR(TEXTBEFORE('周计划明细'!F137,":"),"")</f>
        <v/>
      </c>
      <c r="D409" s="6">
        <f>IFERROR(VALUE(TEXTBEFORE(TEXTAFTER('周计划明细'!F137,"|"),"h")),0)</f>
        <v/>
      </c>
    </row>
    <row r="410">
      <c r="A410" s="6" t="n">
        <v>138</v>
      </c>
      <c r="B410" s="6" t="inlineStr">
        <is>
          <t>上午</t>
        </is>
      </c>
      <c r="C410" s="6">
        <f>IFERROR(TEXTBEFORE('周计划明细'!D138,":"),"")</f>
        <v/>
      </c>
      <c r="D410" s="6">
        <f>IFERROR(VALUE(TEXTBEFORE(TEXTAFTER('周计划明细'!D138,"|"),"h")),0)</f>
        <v/>
      </c>
    </row>
    <row r="411">
      <c r="A411" s="6" t="n">
        <v>138</v>
      </c>
      <c r="B411" s="6" t="inlineStr">
        <is>
          <t>下午</t>
        </is>
      </c>
      <c r="C411" s="6">
        <f>IFERROR(TEXTBEFORE('周计划明细'!E138,":"),"")</f>
        <v/>
      </c>
      <c r="D411" s="6">
        <f>IFERROR(VALUE(TEXTBEFORE(TEXTAFTER('周计划明细'!E138,"|"),"h")),0)</f>
        <v/>
      </c>
    </row>
    <row r="412">
      <c r="A412" s="6" t="n">
        <v>138</v>
      </c>
      <c r="B412" s="6" t="inlineStr">
        <is>
          <t>晚上</t>
        </is>
      </c>
      <c r="C412" s="6">
        <f>IFERROR(TEXTBEFORE('周计划明细'!F138,":"),"")</f>
        <v/>
      </c>
      <c r="D412" s="6">
        <f>IFERROR(VALUE(TEXTBEFORE(TEXTAFTER('周计划明细'!F138,"|"),"h")),0)</f>
        <v/>
      </c>
    </row>
    <row r="413">
      <c r="A413" s="6" t="n">
        <v>139</v>
      </c>
      <c r="B413" s="6" t="inlineStr">
        <is>
          <t>上午</t>
        </is>
      </c>
      <c r="C413" s="6">
        <f>IFERROR(TEXTBEFORE('周计划明细'!D139,":"),"")</f>
        <v/>
      </c>
      <c r="D413" s="6">
        <f>IFERROR(VALUE(TEXTBEFORE(TEXTAFTER('周计划明细'!D139,"|"),"h")),0)</f>
        <v/>
      </c>
    </row>
    <row r="414">
      <c r="A414" s="6" t="n">
        <v>139</v>
      </c>
      <c r="B414" s="6" t="inlineStr">
        <is>
          <t>下午</t>
        </is>
      </c>
      <c r="C414" s="6">
        <f>IFERROR(TEXTBEFORE('周计划明细'!E139,":"),"")</f>
        <v/>
      </c>
      <c r="D414" s="6">
        <f>IFERROR(VALUE(TEXTBEFORE(TEXTAFTER('周计划明细'!E139,"|"),"h")),0)</f>
        <v/>
      </c>
    </row>
    <row r="415">
      <c r="A415" s="6" t="n">
        <v>139</v>
      </c>
      <c r="B415" s="6" t="inlineStr">
        <is>
          <t>晚上</t>
        </is>
      </c>
      <c r="C415" s="6">
        <f>IFERROR(TEXTBEFORE('周计划明细'!F139,":"),"")</f>
        <v/>
      </c>
      <c r="D415" s="6">
        <f>IFERROR(VALUE(TEXTBEFORE(TEXTAFTER('周计划明细'!F139,"|"),"h")),0)</f>
        <v/>
      </c>
    </row>
    <row r="416">
      <c r="A416" s="6" t="n">
        <v>140</v>
      </c>
      <c r="B416" s="6" t="inlineStr">
        <is>
          <t>上午</t>
        </is>
      </c>
      <c r="C416" s="6">
        <f>IFERROR(TEXTBEFORE('周计划明细'!D140,":"),"")</f>
        <v/>
      </c>
      <c r="D416" s="6">
        <f>IFERROR(VALUE(TEXTBEFORE(TEXTAFTER('周计划明细'!D140,"|"),"h")),0)</f>
        <v/>
      </c>
    </row>
    <row r="417">
      <c r="A417" s="6" t="n">
        <v>140</v>
      </c>
      <c r="B417" s="6" t="inlineStr">
        <is>
          <t>下午</t>
        </is>
      </c>
      <c r="C417" s="6">
        <f>IFERROR(TEXTBEFORE('周计划明细'!E140,":"),"")</f>
        <v/>
      </c>
      <c r="D417" s="6">
        <f>IFERROR(VALUE(TEXTBEFORE(TEXTAFTER('周计划明细'!E140,"|"),"h")),0)</f>
        <v/>
      </c>
    </row>
    <row r="418">
      <c r="A418" s="6" t="n">
        <v>140</v>
      </c>
      <c r="B418" s="6" t="inlineStr">
        <is>
          <t>晚上</t>
        </is>
      </c>
      <c r="C418" s="6">
        <f>IFERROR(TEXTBEFORE('周计划明细'!F140,":"),"")</f>
        <v/>
      </c>
      <c r="D418" s="6">
        <f>IFERROR(VALUE(TEXTBEFORE(TEXTAFTER('周计划明细'!F140,"|"),"h")),0)</f>
        <v/>
      </c>
    </row>
    <row r="419">
      <c r="A419" s="6" t="n">
        <v>141</v>
      </c>
      <c r="B419" s="6" t="inlineStr">
        <is>
          <t>上午</t>
        </is>
      </c>
      <c r="C419" s="6">
        <f>IFERROR(TEXTBEFORE('周计划明细'!D141,":"),"")</f>
        <v/>
      </c>
      <c r="D419" s="6">
        <f>IFERROR(VALUE(TEXTBEFORE(TEXTAFTER('周计划明细'!D141,"|"),"h")),0)</f>
        <v/>
      </c>
    </row>
    <row r="420">
      <c r="A420" s="6" t="n">
        <v>141</v>
      </c>
      <c r="B420" s="6" t="inlineStr">
        <is>
          <t>下午</t>
        </is>
      </c>
      <c r="C420" s="6">
        <f>IFERROR(TEXTBEFORE('周计划明细'!E141,":"),"")</f>
        <v/>
      </c>
      <c r="D420" s="6">
        <f>IFERROR(VALUE(TEXTBEFORE(TEXTAFTER('周计划明细'!E141,"|"),"h")),0)</f>
        <v/>
      </c>
    </row>
    <row r="421">
      <c r="A421" s="6" t="n">
        <v>141</v>
      </c>
      <c r="B421" s="6" t="inlineStr">
        <is>
          <t>晚上</t>
        </is>
      </c>
      <c r="C421" s="6">
        <f>IFERROR(TEXTBEFORE('周计划明细'!F141,":"),"")</f>
        <v/>
      </c>
      <c r="D421" s="6">
        <f>IFERROR(VALUE(TEXTBEFORE(TEXTAFTER('周计划明细'!F141,"|"),"h")),0)</f>
        <v/>
      </c>
    </row>
    <row r="422">
      <c r="A422" s="6" t="n">
        <v>142</v>
      </c>
      <c r="B422" s="6" t="inlineStr">
        <is>
          <t>上午</t>
        </is>
      </c>
      <c r="C422" s="6">
        <f>IFERROR(TEXTBEFORE('周计划明细'!D142,":"),"")</f>
        <v/>
      </c>
      <c r="D422" s="6">
        <f>IFERROR(VALUE(TEXTBEFORE(TEXTAFTER('周计划明细'!D142,"|"),"h")),0)</f>
        <v/>
      </c>
    </row>
    <row r="423">
      <c r="A423" s="6" t="n">
        <v>142</v>
      </c>
      <c r="B423" s="6" t="inlineStr">
        <is>
          <t>下午</t>
        </is>
      </c>
      <c r="C423" s="6">
        <f>IFERROR(TEXTBEFORE('周计划明细'!E142,":"),"")</f>
        <v/>
      </c>
      <c r="D423" s="6">
        <f>IFERROR(VALUE(TEXTBEFORE(TEXTAFTER('周计划明细'!E142,"|"),"h")),0)</f>
        <v/>
      </c>
    </row>
    <row r="424">
      <c r="A424" s="6" t="n">
        <v>142</v>
      </c>
      <c r="B424" s="6" t="inlineStr">
        <is>
          <t>晚上</t>
        </is>
      </c>
      <c r="C424" s="6">
        <f>IFERROR(TEXTBEFORE('周计划明细'!F142,":"),"")</f>
        <v/>
      </c>
      <c r="D424" s="6">
        <f>IFERROR(VALUE(TEXTBEFORE(TEXTAFTER('周计划明细'!F142,"|"),"h")),0)</f>
        <v/>
      </c>
    </row>
    <row r="425">
      <c r="A425" s="6" t="n">
        <v>143</v>
      </c>
      <c r="B425" s="6" t="inlineStr">
        <is>
          <t>上午</t>
        </is>
      </c>
      <c r="C425" s="6">
        <f>IFERROR(TEXTBEFORE('周计划明细'!D143,":"),"")</f>
        <v/>
      </c>
      <c r="D425" s="6">
        <f>IFERROR(VALUE(TEXTBEFORE(TEXTAFTER('周计划明细'!D143,"|"),"h")),0)</f>
        <v/>
      </c>
    </row>
    <row r="426">
      <c r="A426" s="6" t="n">
        <v>143</v>
      </c>
      <c r="B426" s="6" t="inlineStr">
        <is>
          <t>下午</t>
        </is>
      </c>
      <c r="C426" s="6">
        <f>IFERROR(TEXTBEFORE('周计划明细'!E143,":"),"")</f>
        <v/>
      </c>
      <c r="D426" s="6">
        <f>IFERROR(VALUE(TEXTBEFORE(TEXTAFTER('周计划明细'!E143,"|"),"h")),0)</f>
        <v/>
      </c>
    </row>
    <row r="427">
      <c r="A427" s="6" t="n">
        <v>143</v>
      </c>
      <c r="B427" s="6" t="inlineStr">
        <is>
          <t>晚上</t>
        </is>
      </c>
      <c r="C427" s="6">
        <f>IFERROR(TEXTBEFORE('周计划明细'!F143,":"),"")</f>
        <v/>
      </c>
      <c r="D427" s="6">
        <f>IFERROR(VALUE(TEXTBEFORE(TEXTAFTER('周计划明细'!F143,"|"),"h")),0)</f>
        <v/>
      </c>
    </row>
    <row r="428">
      <c r="A428" s="6" t="n">
        <v>144</v>
      </c>
      <c r="B428" s="6" t="inlineStr">
        <is>
          <t>上午</t>
        </is>
      </c>
      <c r="C428" s="6">
        <f>IFERROR(TEXTBEFORE('周计划明细'!D144,":"),"")</f>
        <v/>
      </c>
      <c r="D428" s="6">
        <f>IFERROR(VALUE(TEXTBEFORE(TEXTAFTER('周计划明细'!D144,"|"),"h")),0)</f>
        <v/>
      </c>
    </row>
    <row r="429">
      <c r="A429" s="6" t="n">
        <v>144</v>
      </c>
      <c r="B429" s="6" t="inlineStr">
        <is>
          <t>下午</t>
        </is>
      </c>
      <c r="C429" s="6">
        <f>IFERROR(TEXTBEFORE('周计划明细'!E144,":"),"")</f>
        <v/>
      </c>
      <c r="D429" s="6">
        <f>IFERROR(VALUE(TEXTBEFORE(TEXTAFTER('周计划明细'!E144,"|"),"h")),0)</f>
        <v/>
      </c>
    </row>
    <row r="430">
      <c r="A430" s="6" t="n">
        <v>144</v>
      </c>
      <c r="B430" s="6" t="inlineStr">
        <is>
          <t>晚上</t>
        </is>
      </c>
      <c r="C430" s="6">
        <f>IFERROR(TEXTBEFORE('周计划明细'!F144,":"),"")</f>
        <v/>
      </c>
      <c r="D430" s="6">
        <f>IFERROR(VALUE(TEXTBEFORE(TEXTAFTER('周计划明细'!F144,"|"),"h")),0)</f>
        <v/>
      </c>
    </row>
    <row r="431">
      <c r="A431" s="6" t="n">
        <v>145</v>
      </c>
      <c r="B431" s="6" t="inlineStr">
        <is>
          <t>上午</t>
        </is>
      </c>
      <c r="C431" s="6">
        <f>IFERROR(TEXTBEFORE('周计划明细'!D145,":"),"")</f>
        <v/>
      </c>
      <c r="D431" s="6">
        <f>IFERROR(VALUE(TEXTBEFORE(TEXTAFTER('周计划明细'!D145,"|"),"h")),0)</f>
        <v/>
      </c>
    </row>
    <row r="432">
      <c r="A432" s="6" t="n">
        <v>145</v>
      </c>
      <c r="B432" s="6" t="inlineStr">
        <is>
          <t>下午</t>
        </is>
      </c>
      <c r="C432" s="6">
        <f>IFERROR(TEXTBEFORE('周计划明细'!E145,":"),"")</f>
        <v/>
      </c>
      <c r="D432" s="6">
        <f>IFERROR(VALUE(TEXTBEFORE(TEXTAFTER('周计划明细'!E145,"|"),"h")),0)</f>
        <v/>
      </c>
    </row>
    <row r="433">
      <c r="A433" s="6" t="n">
        <v>145</v>
      </c>
      <c r="B433" s="6" t="inlineStr">
        <is>
          <t>晚上</t>
        </is>
      </c>
      <c r="C433" s="6">
        <f>IFERROR(TEXTBEFORE('周计划明细'!F145,":"),"")</f>
        <v/>
      </c>
      <c r="D433" s="6">
        <f>IFERROR(VALUE(TEXTBEFORE(TEXTAFTER('周计划明细'!F145,"|"),"h")),0)</f>
        <v/>
      </c>
    </row>
    <row r="434">
      <c r="A434" s="6" t="n">
        <v>146</v>
      </c>
      <c r="B434" s="6" t="inlineStr">
        <is>
          <t>上午</t>
        </is>
      </c>
      <c r="C434" s="6">
        <f>IFERROR(TEXTBEFORE('周计划明细'!D146,":"),"")</f>
        <v/>
      </c>
      <c r="D434" s="6">
        <f>IFERROR(VALUE(TEXTBEFORE(TEXTAFTER('周计划明细'!D146,"|"),"h")),0)</f>
        <v/>
      </c>
    </row>
    <row r="435">
      <c r="A435" s="6" t="n">
        <v>146</v>
      </c>
      <c r="B435" s="6" t="inlineStr">
        <is>
          <t>下午</t>
        </is>
      </c>
      <c r="C435" s="6">
        <f>IFERROR(TEXTBEFORE('周计划明细'!E146,":"),"")</f>
        <v/>
      </c>
      <c r="D435" s="6">
        <f>IFERROR(VALUE(TEXTBEFORE(TEXTAFTER('周计划明细'!E146,"|"),"h")),0)</f>
        <v/>
      </c>
    </row>
    <row r="436">
      <c r="A436" s="6" t="n">
        <v>146</v>
      </c>
      <c r="B436" s="6" t="inlineStr">
        <is>
          <t>晚上</t>
        </is>
      </c>
      <c r="C436" s="6">
        <f>IFERROR(TEXTBEFORE('周计划明细'!F146,":"),"")</f>
        <v/>
      </c>
      <c r="D436" s="6">
        <f>IFERROR(VALUE(TEXTBEFORE(TEXTAFTER('周计划明细'!F146,"|"),"h")),0)</f>
        <v/>
      </c>
    </row>
    <row r="437">
      <c r="A437" s="6" t="n">
        <v>147</v>
      </c>
      <c r="B437" s="6" t="inlineStr">
        <is>
          <t>上午</t>
        </is>
      </c>
      <c r="C437" s="6">
        <f>IFERROR(TEXTBEFORE('周计划明细'!D147,":"),"")</f>
        <v/>
      </c>
      <c r="D437" s="6">
        <f>IFERROR(VALUE(TEXTBEFORE(TEXTAFTER('周计划明细'!D147,"|"),"h")),0)</f>
        <v/>
      </c>
    </row>
    <row r="438">
      <c r="A438" s="6" t="n">
        <v>147</v>
      </c>
      <c r="B438" s="6" t="inlineStr">
        <is>
          <t>下午</t>
        </is>
      </c>
      <c r="C438" s="6">
        <f>IFERROR(TEXTBEFORE('周计划明细'!E147,":"),"")</f>
        <v/>
      </c>
      <c r="D438" s="6">
        <f>IFERROR(VALUE(TEXTBEFORE(TEXTAFTER('周计划明细'!E147,"|"),"h")),0)</f>
        <v/>
      </c>
    </row>
    <row r="439">
      <c r="A439" s="6" t="n">
        <v>147</v>
      </c>
      <c r="B439" s="6" t="inlineStr">
        <is>
          <t>晚上</t>
        </is>
      </c>
      <c r="C439" s="6">
        <f>IFERROR(TEXTBEFORE('周计划明细'!F147,":"),"")</f>
        <v/>
      </c>
      <c r="D439" s="6">
        <f>IFERROR(VALUE(TEXTBEFORE(TEXTAFTER('周计划明细'!F147,"|"),"h")),0)</f>
        <v/>
      </c>
    </row>
    <row r="440">
      <c r="A440" s="6" t="n">
        <v>148</v>
      </c>
      <c r="B440" s="6" t="inlineStr">
        <is>
          <t>上午</t>
        </is>
      </c>
      <c r="C440" s="6">
        <f>IFERROR(TEXTBEFORE('周计划明细'!D148,":"),"")</f>
        <v/>
      </c>
      <c r="D440" s="6">
        <f>IFERROR(VALUE(TEXTBEFORE(TEXTAFTER('周计划明细'!D148,"|"),"h")),0)</f>
        <v/>
      </c>
    </row>
    <row r="441">
      <c r="A441" s="6" t="n">
        <v>148</v>
      </c>
      <c r="B441" s="6" t="inlineStr">
        <is>
          <t>下午</t>
        </is>
      </c>
      <c r="C441" s="6">
        <f>IFERROR(TEXTBEFORE('周计划明细'!E148,":"),"")</f>
        <v/>
      </c>
      <c r="D441" s="6">
        <f>IFERROR(VALUE(TEXTBEFORE(TEXTAFTER('周计划明细'!E148,"|"),"h")),0)</f>
        <v/>
      </c>
    </row>
    <row r="442">
      <c r="A442" s="6" t="n">
        <v>148</v>
      </c>
      <c r="B442" s="6" t="inlineStr">
        <is>
          <t>晚上</t>
        </is>
      </c>
      <c r="C442" s="6">
        <f>IFERROR(TEXTBEFORE('周计划明细'!F148,":"),"")</f>
        <v/>
      </c>
      <c r="D442" s="6">
        <f>IFERROR(VALUE(TEXTBEFORE(TEXTAFTER('周计划明细'!F148,"|"),"h")),0)</f>
        <v/>
      </c>
    </row>
    <row r="443">
      <c r="A443" s="6" t="n">
        <v>149</v>
      </c>
      <c r="B443" s="6" t="inlineStr">
        <is>
          <t>上午</t>
        </is>
      </c>
      <c r="C443" s="6">
        <f>IFERROR(TEXTBEFORE('周计划明细'!D149,":"),"")</f>
        <v/>
      </c>
      <c r="D443" s="6">
        <f>IFERROR(VALUE(TEXTBEFORE(TEXTAFTER('周计划明细'!D149,"|"),"h")),0)</f>
        <v/>
      </c>
    </row>
    <row r="444">
      <c r="A444" s="6" t="n">
        <v>149</v>
      </c>
      <c r="B444" s="6" t="inlineStr">
        <is>
          <t>下午</t>
        </is>
      </c>
      <c r="C444" s="6">
        <f>IFERROR(TEXTBEFORE('周计划明细'!E149,":"),"")</f>
        <v/>
      </c>
      <c r="D444" s="6">
        <f>IFERROR(VALUE(TEXTBEFORE(TEXTAFTER('周计划明细'!E149,"|"),"h")),0)</f>
        <v/>
      </c>
    </row>
    <row r="445">
      <c r="A445" s="6" t="n">
        <v>149</v>
      </c>
      <c r="B445" s="6" t="inlineStr">
        <is>
          <t>晚上</t>
        </is>
      </c>
      <c r="C445" s="6">
        <f>IFERROR(TEXTBEFORE('周计划明细'!F149,":"),"")</f>
        <v/>
      </c>
      <c r="D445" s="6">
        <f>IFERROR(VALUE(TEXTBEFORE(TEXTAFTER('周计划明细'!F149,"|"),"h")),0)</f>
        <v/>
      </c>
    </row>
    <row r="446">
      <c r="A446" s="6" t="n">
        <v>150</v>
      </c>
      <c r="B446" s="6" t="inlineStr">
        <is>
          <t>上午</t>
        </is>
      </c>
      <c r="C446" s="6">
        <f>IFERROR(TEXTBEFORE('周计划明细'!D150,":"),"")</f>
        <v/>
      </c>
      <c r="D446" s="6">
        <f>IFERROR(VALUE(TEXTBEFORE(TEXTAFTER('周计划明细'!D150,"|"),"h")),0)</f>
        <v/>
      </c>
    </row>
    <row r="447">
      <c r="A447" s="6" t="n">
        <v>150</v>
      </c>
      <c r="B447" s="6" t="inlineStr">
        <is>
          <t>下午</t>
        </is>
      </c>
      <c r="C447" s="6">
        <f>IFERROR(TEXTBEFORE('周计划明细'!E150,":"),"")</f>
        <v/>
      </c>
      <c r="D447" s="6">
        <f>IFERROR(VALUE(TEXTBEFORE(TEXTAFTER('周计划明细'!E150,"|"),"h")),0)</f>
        <v/>
      </c>
    </row>
    <row r="448">
      <c r="A448" s="6" t="n">
        <v>150</v>
      </c>
      <c r="B448" s="6" t="inlineStr">
        <is>
          <t>晚上</t>
        </is>
      </c>
      <c r="C448" s="6">
        <f>IFERROR(TEXTBEFORE('周计划明细'!F150,":"),"")</f>
        <v/>
      </c>
      <c r="D448" s="6">
        <f>IFERROR(VALUE(TEXTBEFORE(TEXTAFTER('周计划明细'!F150,"|"),"h")),0)</f>
        <v/>
      </c>
    </row>
    <row r="449">
      <c r="A449" s="6" t="n">
        <v>151</v>
      </c>
      <c r="B449" s="6" t="inlineStr">
        <is>
          <t>上午</t>
        </is>
      </c>
      <c r="C449" s="6">
        <f>IFERROR(TEXTBEFORE('周计划明细'!D151,":"),"")</f>
        <v/>
      </c>
      <c r="D449" s="6">
        <f>IFERROR(VALUE(TEXTBEFORE(TEXTAFTER('周计划明细'!D151,"|"),"h")),0)</f>
        <v/>
      </c>
    </row>
    <row r="450">
      <c r="A450" s="6" t="n">
        <v>151</v>
      </c>
      <c r="B450" s="6" t="inlineStr">
        <is>
          <t>下午</t>
        </is>
      </c>
      <c r="C450" s="6">
        <f>IFERROR(TEXTBEFORE('周计划明细'!E151,":"),"")</f>
        <v/>
      </c>
      <c r="D450" s="6">
        <f>IFERROR(VALUE(TEXTBEFORE(TEXTAFTER('周计划明细'!E151,"|"),"h")),0)</f>
        <v/>
      </c>
    </row>
    <row r="451">
      <c r="A451" s="6" t="n">
        <v>151</v>
      </c>
      <c r="B451" s="6" t="inlineStr">
        <is>
          <t>晚上</t>
        </is>
      </c>
      <c r="C451" s="6">
        <f>IFERROR(TEXTBEFORE('周计划明细'!F151,":"),"")</f>
        <v/>
      </c>
      <c r="D451" s="6">
        <f>IFERROR(VALUE(TEXTBEFORE(TEXTAFTER('周计划明细'!F151,"|"),"h")),0)</f>
        <v/>
      </c>
    </row>
    <row r="452">
      <c r="A452" s="6" t="n">
        <v>152</v>
      </c>
      <c r="B452" s="6" t="inlineStr">
        <is>
          <t>上午</t>
        </is>
      </c>
      <c r="C452" s="6">
        <f>IFERROR(TEXTBEFORE('周计划明细'!D152,":"),"")</f>
        <v/>
      </c>
      <c r="D452" s="6">
        <f>IFERROR(VALUE(TEXTBEFORE(TEXTAFTER('周计划明细'!D152,"|"),"h")),0)</f>
        <v/>
      </c>
    </row>
    <row r="453">
      <c r="A453" s="6" t="n">
        <v>152</v>
      </c>
      <c r="B453" s="6" t="inlineStr">
        <is>
          <t>下午</t>
        </is>
      </c>
      <c r="C453" s="6">
        <f>IFERROR(TEXTBEFORE('周计划明细'!E152,":"),"")</f>
        <v/>
      </c>
      <c r="D453" s="6">
        <f>IFERROR(VALUE(TEXTBEFORE(TEXTAFTER('周计划明细'!E152,"|"),"h")),0)</f>
        <v/>
      </c>
    </row>
    <row r="454">
      <c r="A454" s="6" t="n">
        <v>152</v>
      </c>
      <c r="B454" s="6" t="inlineStr">
        <is>
          <t>晚上</t>
        </is>
      </c>
      <c r="C454" s="6">
        <f>IFERROR(TEXTBEFORE('周计划明细'!F152,":"),"")</f>
        <v/>
      </c>
      <c r="D454" s="6">
        <f>IFERROR(VALUE(TEXTBEFORE(TEXTAFTER('周计划明细'!F152,"|"),"h")),0)</f>
        <v/>
      </c>
    </row>
    <row r="455">
      <c r="A455" s="6" t="n">
        <v>153</v>
      </c>
      <c r="B455" s="6" t="inlineStr">
        <is>
          <t>上午</t>
        </is>
      </c>
      <c r="C455" s="6">
        <f>IFERROR(TEXTBEFORE('周计划明细'!D153,":"),"")</f>
        <v/>
      </c>
      <c r="D455" s="6">
        <f>IFERROR(VALUE(TEXTBEFORE(TEXTAFTER('周计划明细'!D153,"|"),"h")),0)</f>
        <v/>
      </c>
    </row>
    <row r="456">
      <c r="A456" s="6" t="n">
        <v>153</v>
      </c>
      <c r="B456" s="6" t="inlineStr">
        <is>
          <t>下午</t>
        </is>
      </c>
      <c r="C456" s="6">
        <f>IFERROR(TEXTBEFORE('周计划明细'!E153,":"),"")</f>
        <v/>
      </c>
      <c r="D456" s="6">
        <f>IFERROR(VALUE(TEXTBEFORE(TEXTAFTER('周计划明细'!E153,"|"),"h")),0)</f>
        <v/>
      </c>
    </row>
    <row r="457">
      <c r="A457" s="6" t="n">
        <v>153</v>
      </c>
      <c r="B457" s="6" t="inlineStr">
        <is>
          <t>晚上</t>
        </is>
      </c>
      <c r="C457" s="6">
        <f>IFERROR(TEXTBEFORE('周计划明细'!F153,":"),"")</f>
        <v/>
      </c>
      <c r="D457" s="6">
        <f>IFERROR(VALUE(TEXTBEFORE(TEXTAFTER('周计划明细'!F153,"|"),"h")),0)</f>
        <v/>
      </c>
    </row>
    <row r="458">
      <c r="A458" s="6" t="n">
        <v>154</v>
      </c>
      <c r="B458" s="6" t="inlineStr">
        <is>
          <t>上午</t>
        </is>
      </c>
      <c r="C458" s="6">
        <f>IFERROR(TEXTBEFORE('周计划明细'!D154,":"),"")</f>
        <v/>
      </c>
      <c r="D458" s="6">
        <f>IFERROR(VALUE(TEXTBEFORE(TEXTAFTER('周计划明细'!D154,"|"),"h")),0)</f>
        <v/>
      </c>
    </row>
    <row r="459">
      <c r="A459" s="6" t="n">
        <v>154</v>
      </c>
      <c r="B459" s="6" t="inlineStr">
        <is>
          <t>下午</t>
        </is>
      </c>
      <c r="C459" s="6">
        <f>IFERROR(TEXTBEFORE('周计划明细'!E154,":"),"")</f>
        <v/>
      </c>
      <c r="D459" s="6">
        <f>IFERROR(VALUE(TEXTBEFORE(TEXTAFTER('周计划明细'!E154,"|"),"h")),0)</f>
        <v/>
      </c>
    </row>
    <row r="460">
      <c r="A460" s="6" t="n">
        <v>154</v>
      </c>
      <c r="B460" s="6" t="inlineStr">
        <is>
          <t>晚上</t>
        </is>
      </c>
      <c r="C460" s="6">
        <f>IFERROR(TEXTBEFORE('周计划明细'!F154,":"),"")</f>
        <v/>
      </c>
      <c r="D460" s="6">
        <f>IFERROR(VALUE(TEXTBEFORE(TEXTAFTER('周计划明细'!F154,"|"),"h")),0)</f>
        <v/>
      </c>
    </row>
    <row r="461">
      <c r="A461" s="6" t="n">
        <v>155</v>
      </c>
      <c r="B461" s="6" t="inlineStr">
        <is>
          <t>上午</t>
        </is>
      </c>
      <c r="C461" s="6">
        <f>IFERROR(TEXTBEFORE('周计划明细'!D155,":"),"")</f>
        <v/>
      </c>
      <c r="D461" s="6">
        <f>IFERROR(VALUE(TEXTBEFORE(TEXTAFTER('周计划明细'!D155,"|"),"h")),0)</f>
        <v/>
      </c>
    </row>
    <row r="462">
      <c r="A462" s="6" t="n">
        <v>155</v>
      </c>
      <c r="B462" s="6" t="inlineStr">
        <is>
          <t>下午</t>
        </is>
      </c>
      <c r="C462" s="6">
        <f>IFERROR(TEXTBEFORE('周计划明细'!E155,":"),"")</f>
        <v/>
      </c>
      <c r="D462" s="6">
        <f>IFERROR(VALUE(TEXTBEFORE(TEXTAFTER('周计划明细'!E155,"|"),"h")),0)</f>
        <v/>
      </c>
    </row>
    <row r="463">
      <c r="A463" s="6" t="n">
        <v>155</v>
      </c>
      <c r="B463" s="6" t="inlineStr">
        <is>
          <t>晚上</t>
        </is>
      </c>
      <c r="C463" s="6">
        <f>IFERROR(TEXTBEFORE('周计划明细'!F155,":"),"")</f>
        <v/>
      </c>
      <c r="D463" s="6">
        <f>IFERROR(VALUE(TEXTBEFORE(TEXTAFTER('周计划明细'!F155,"|"),"h")),0)</f>
        <v/>
      </c>
    </row>
    <row r="464">
      <c r="A464" s="6" t="n">
        <v>156</v>
      </c>
      <c r="B464" s="6" t="inlineStr">
        <is>
          <t>上午</t>
        </is>
      </c>
      <c r="C464" s="6">
        <f>IFERROR(TEXTBEFORE('周计划明细'!D156,":"),"")</f>
        <v/>
      </c>
      <c r="D464" s="6">
        <f>IFERROR(VALUE(TEXTBEFORE(TEXTAFTER('周计划明细'!D156,"|"),"h")),0)</f>
        <v/>
      </c>
    </row>
    <row r="465">
      <c r="A465" s="6" t="n">
        <v>156</v>
      </c>
      <c r="B465" s="6" t="inlineStr">
        <is>
          <t>下午</t>
        </is>
      </c>
      <c r="C465" s="6">
        <f>IFERROR(TEXTBEFORE('周计划明细'!E156,":"),"")</f>
        <v/>
      </c>
      <c r="D465" s="6">
        <f>IFERROR(VALUE(TEXTBEFORE(TEXTAFTER('周计划明细'!E156,"|"),"h")),0)</f>
        <v/>
      </c>
    </row>
    <row r="466">
      <c r="A466" s="6" t="n">
        <v>156</v>
      </c>
      <c r="B466" s="6" t="inlineStr">
        <is>
          <t>晚上</t>
        </is>
      </c>
      <c r="C466" s="6">
        <f>IFERROR(TEXTBEFORE('周计划明细'!F156,":"),"")</f>
        <v/>
      </c>
      <c r="D466" s="6">
        <f>IFERROR(VALUE(TEXTBEFORE(TEXTAFTER('周计划明细'!F156,"|"),"h")),0)</f>
        <v/>
      </c>
    </row>
    <row r="467">
      <c r="A467" s="6" t="n">
        <v>157</v>
      </c>
      <c r="B467" s="6" t="inlineStr">
        <is>
          <t>上午</t>
        </is>
      </c>
      <c r="C467" s="6">
        <f>IFERROR(TEXTBEFORE('周计划明细'!D157,":"),"")</f>
        <v/>
      </c>
      <c r="D467" s="6">
        <f>IFERROR(VALUE(TEXTBEFORE(TEXTAFTER('周计划明细'!D157,"|"),"h")),0)</f>
        <v/>
      </c>
    </row>
    <row r="468">
      <c r="A468" s="6" t="n">
        <v>157</v>
      </c>
      <c r="B468" s="6" t="inlineStr">
        <is>
          <t>下午</t>
        </is>
      </c>
      <c r="C468" s="6">
        <f>IFERROR(TEXTBEFORE('周计划明细'!E157,":"),"")</f>
        <v/>
      </c>
      <c r="D468" s="6">
        <f>IFERROR(VALUE(TEXTBEFORE(TEXTAFTER('周计划明细'!E157,"|"),"h")),0)</f>
        <v/>
      </c>
    </row>
    <row r="469">
      <c r="A469" s="6" t="n">
        <v>157</v>
      </c>
      <c r="B469" s="6" t="inlineStr">
        <is>
          <t>晚上</t>
        </is>
      </c>
      <c r="C469" s="6">
        <f>IFERROR(TEXTBEFORE('周计划明细'!F157,":"),"")</f>
        <v/>
      </c>
      <c r="D469" s="6">
        <f>IFERROR(VALUE(TEXTBEFORE(TEXTAFTER('周计划明细'!F157,"|"),"h")),0)</f>
        <v/>
      </c>
    </row>
    <row r="470">
      <c r="A470" s="6" t="n">
        <v>158</v>
      </c>
      <c r="B470" s="6" t="inlineStr">
        <is>
          <t>上午</t>
        </is>
      </c>
      <c r="C470" s="6">
        <f>IFERROR(TEXTBEFORE('周计划明细'!D158,":"),"")</f>
        <v/>
      </c>
      <c r="D470" s="6">
        <f>IFERROR(VALUE(TEXTBEFORE(TEXTAFTER('周计划明细'!D158,"|"),"h")),0)</f>
        <v/>
      </c>
    </row>
    <row r="471">
      <c r="A471" s="6" t="n">
        <v>158</v>
      </c>
      <c r="B471" s="6" t="inlineStr">
        <is>
          <t>下午</t>
        </is>
      </c>
      <c r="C471" s="6">
        <f>IFERROR(TEXTBEFORE('周计划明细'!E158,":"),"")</f>
        <v/>
      </c>
      <c r="D471" s="6">
        <f>IFERROR(VALUE(TEXTBEFORE(TEXTAFTER('周计划明细'!E158,"|"),"h")),0)</f>
        <v/>
      </c>
    </row>
    <row r="472">
      <c r="A472" s="6" t="n">
        <v>158</v>
      </c>
      <c r="B472" s="6" t="inlineStr">
        <is>
          <t>晚上</t>
        </is>
      </c>
      <c r="C472" s="6">
        <f>IFERROR(TEXTBEFORE('周计划明细'!F158,":"),"")</f>
        <v/>
      </c>
      <c r="D472" s="6">
        <f>IFERROR(VALUE(TEXTBEFORE(TEXTAFTER('周计划明细'!F158,"|"),"h")),0)</f>
        <v/>
      </c>
    </row>
    <row r="473">
      <c r="A473" s="6" t="n">
        <v>159</v>
      </c>
      <c r="B473" s="6" t="inlineStr">
        <is>
          <t>上午</t>
        </is>
      </c>
      <c r="C473" s="6">
        <f>IFERROR(TEXTBEFORE('周计划明细'!D159,":"),"")</f>
        <v/>
      </c>
      <c r="D473" s="6">
        <f>IFERROR(VALUE(TEXTBEFORE(TEXTAFTER('周计划明细'!D159,"|"),"h")),0)</f>
        <v/>
      </c>
    </row>
    <row r="474">
      <c r="A474" s="6" t="n">
        <v>159</v>
      </c>
      <c r="B474" s="6" t="inlineStr">
        <is>
          <t>下午</t>
        </is>
      </c>
      <c r="C474" s="6">
        <f>IFERROR(TEXTBEFORE('周计划明细'!E159,":"),"")</f>
        <v/>
      </c>
      <c r="D474" s="6">
        <f>IFERROR(VALUE(TEXTBEFORE(TEXTAFTER('周计划明细'!E159,"|"),"h")),0)</f>
        <v/>
      </c>
    </row>
    <row r="475">
      <c r="A475" s="6" t="n">
        <v>159</v>
      </c>
      <c r="B475" s="6" t="inlineStr">
        <is>
          <t>晚上</t>
        </is>
      </c>
      <c r="C475" s="6">
        <f>IFERROR(TEXTBEFORE('周计划明细'!F159,":"),"")</f>
        <v/>
      </c>
      <c r="D475" s="6">
        <f>IFERROR(VALUE(TEXTBEFORE(TEXTAFTER('周计划明细'!F159,"|"),"h")),0)</f>
        <v/>
      </c>
    </row>
    <row r="476">
      <c r="A476" s="6" t="n">
        <v>160</v>
      </c>
      <c r="B476" s="6" t="inlineStr">
        <is>
          <t>上午</t>
        </is>
      </c>
      <c r="C476" s="6">
        <f>IFERROR(TEXTBEFORE('周计划明细'!D160,":"),"")</f>
        <v/>
      </c>
      <c r="D476" s="6">
        <f>IFERROR(VALUE(TEXTBEFORE(TEXTAFTER('周计划明细'!D160,"|"),"h")),0)</f>
        <v/>
      </c>
    </row>
    <row r="477">
      <c r="A477" s="6" t="n">
        <v>160</v>
      </c>
      <c r="B477" s="6" t="inlineStr">
        <is>
          <t>下午</t>
        </is>
      </c>
      <c r="C477" s="6">
        <f>IFERROR(TEXTBEFORE('周计划明细'!E160,":"),"")</f>
        <v/>
      </c>
      <c r="D477" s="6">
        <f>IFERROR(VALUE(TEXTBEFORE(TEXTAFTER('周计划明细'!E160,"|"),"h")),0)</f>
        <v/>
      </c>
    </row>
    <row r="478">
      <c r="A478" s="6" t="n">
        <v>160</v>
      </c>
      <c r="B478" s="6" t="inlineStr">
        <is>
          <t>晚上</t>
        </is>
      </c>
      <c r="C478" s="6">
        <f>IFERROR(TEXTBEFORE('周计划明细'!F160,":"),"")</f>
        <v/>
      </c>
      <c r="D478" s="6">
        <f>IFERROR(VALUE(TEXTBEFORE(TEXTAFTER('周计划明细'!F160,"|"),"h")),0)</f>
        <v/>
      </c>
    </row>
    <row r="479">
      <c r="A479" s="6" t="n">
        <v>161</v>
      </c>
      <c r="B479" s="6" t="inlineStr">
        <is>
          <t>上午</t>
        </is>
      </c>
      <c r="C479" s="6">
        <f>IFERROR(TEXTBEFORE('周计划明细'!D161,":"),"")</f>
        <v/>
      </c>
      <c r="D479" s="6">
        <f>IFERROR(VALUE(TEXTBEFORE(TEXTAFTER('周计划明细'!D161,"|"),"h")),0)</f>
        <v/>
      </c>
    </row>
    <row r="480">
      <c r="A480" s="6" t="n">
        <v>161</v>
      </c>
      <c r="B480" s="6" t="inlineStr">
        <is>
          <t>下午</t>
        </is>
      </c>
      <c r="C480" s="6">
        <f>IFERROR(TEXTBEFORE('周计划明细'!E161,":"),"")</f>
        <v/>
      </c>
      <c r="D480" s="6">
        <f>IFERROR(VALUE(TEXTBEFORE(TEXTAFTER('周计划明细'!E161,"|"),"h")),0)</f>
        <v/>
      </c>
    </row>
    <row r="481">
      <c r="A481" s="6" t="n">
        <v>161</v>
      </c>
      <c r="B481" s="6" t="inlineStr">
        <is>
          <t>晚上</t>
        </is>
      </c>
      <c r="C481" s="6">
        <f>IFERROR(TEXTBEFORE('周计划明细'!F161,":"),"")</f>
        <v/>
      </c>
      <c r="D481" s="6">
        <f>IFERROR(VALUE(TEXTBEFORE(TEXTAFTER('周计划明细'!F161,"|"),"h")),0)</f>
        <v/>
      </c>
    </row>
    <row r="482">
      <c r="A482" s="6" t="n">
        <v>162</v>
      </c>
      <c r="B482" s="6" t="inlineStr">
        <is>
          <t>上午</t>
        </is>
      </c>
      <c r="C482" s="6">
        <f>IFERROR(TEXTBEFORE('周计划明细'!D162,":"),"")</f>
        <v/>
      </c>
      <c r="D482" s="6">
        <f>IFERROR(VALUE(TEXTBEFORE(TEXTAFTER('周计划明细'!D162,"|"),"h")),0)</f>
        <v/>
      </c>
    </row>
    <row r="483">
      <c r="A483" s="6" t="n">
        <v>162</v>
      </c>
      <c r="B483" s="6" t="inlineStr">
        <is>
          <t>下午</t>
        </is>
      </c>
      <c r="C483" s="6">
        <f>IFERROR(TEXTBEFORE('周计划明细'!E162,":"),"")</f>
        <v/>
      </c>
      <c r="D483" s="6">
        <f>IFERROR(VALUE(TEXTBEFORE(TEXTAFTER('周计划明细'!E162,"|"),"h")),0)</f>
        <v/>
      </c>
    </row>
    <row r="484">
      <c r="A484" s="6" t="n">
        <v>162</v>
      </c>
      <c r="B484" s="6" t="inlineStr">
        <is>
          <t>晚上</t>
        </is>
      </c>
      <c r="C484" s="6">
        <f>IFERROR(TEXTBEFORE('周计划明细'!F162,":"),"")</f>
        <v/>
      </c>
      <c r="D484" s="6">
        <f>IFERROR(VALUE(TEXTBEFORE(TEXTAFTER('周计划明细'!F162,"|"),"h")),0)</f>
        <v/>
      </c>
    </row>
    <row r="485">
      <c r="A485" s="6" t="n">
        <v>163</v>
      </c>
      <c r="B485" s="6" t="inlineStr">
        <is>
          <t>上午</t>
        </is>
      </c>
      <c r="C485" s="6">
        <f>IFERROR(TEXTBEFORE('周计划明细'!D163,":"),"")</f>
        <v/>
      </c>
      <c r="D485" s="6">
        <f>IFERROR(VALUE(TEXTBEFORE(TEXTAFTER('周计划明细'!D163,"|"),"h")),0)</f>
        <v/>
      </c>
    </row>
    <row r="486">
      <c r="A486" s="6" t="n">
        <v>163</v>
      </c>
      <c r="B486" s="6" t="inlineStr">
        <is>
          <t>下午</t>
        </is>
      </c>
      <c r="C486" s="6">
        <f>IFERROR(TEXTBEFORE('周计划明细'!E163,":"),"")</f>
        <v/>
      </c>
      <c r="D486" s="6">
        <f>IFERROR(VALUE(TEXTBEFORE(TEXTAFTER('周计划明细'!E163,"|"),"h")),0)</f>
        <v/>
      </c>
    </row>
    <row r="487">
      <c r="A487" s="6" t="n">
        <v>163</v>
      </c>
      <c r="B487" s="6" t="inlineStr">
        <is>
          <t>晚上</t>
        </is>
      </c>
      <c r="C487" s="6">
        <f>IFERROR(TEXTBEFORE('周计划明细'!F163,":"),"")</f>
        <v/>
      </c>
      <c r="D487" s="6">
        <f>IFERROR(VALUE(TEXTBEFORE(TEXTAFTER('周计划明细'!F163,"|"),"h")),0)</f>
        <v/>
      </c>
    </row>
    <row r="488">
      <c r="A488" s="6" t="n">
        <v>164</v>
      </c>
      <c r="B488" s="6" t="inlineStr">
        <is>
          <t>上午</t>
        </is>
      </c>
      <c r="C488" s="6">
        <f>IFERROR(TEXTBEFORE('周计划明细'!D164,":"),"")</f>
        <v/>
      </c>
      <c r="D488" s="6">
        <f>IFERROR(VALUE(TEXTBEFORE(TEXTAFTER('周计划明细'!D164,"|"),"h")),0)</f>
        <v/>
      </c>
    </row>
    <row r="489">
      <c r="A489" s="6" t="n">
        <v>164</v>
      </c>
      <c r="B489" s="6" t="inlineStr">
        <is>
          <t>下午</t>
        </is>
      </c>
      <c r="C489" s="6">
        <f>IFERROR(TEXTBEFORE('周计划明细'!E164,":"),"")</f>
        <v/>
      </c>
      <c r="D489" s="6">
        <f>IFERROR(VALUE(TEXTBEFORE(TEXTAFTER('周计划明细'!E164,"|"),"h")),0)</f>
        <v/>
      </c>
    </row>
    <row r="490">
      <c r="A490" s="6" t="n">
        <v>164</v>
      </c>
      <c r="B490" s="6" t="inlineStr">
        <is>
          <t>晚上</t>
        </is>
      </c>
      <c r="C490" s="6">
        <f>IFERROR(TEXTBEFORE('周计划明细'!F164,":"),"")</f>
        <v/>
      </c>
      <c r="D490" s="6">
        <f>IFERROR(VALUE(TEXTBEFORE(TEXTAFTER('周计划明细'!F164,"|"),"h")),0)</f>
        <v/>
      </c>
    </row>
    <row r="491">
      <c r="A491" s="6" t="n">
        <v>165</v>
      </c>
      <c r="B491" s="6" t="inlineStr">
        <is>
          <t>上午</t>
        </is>
      </c>
      <c r="C491" s="6">
        <f>IFERROR(TEXTBEFORE('周计划明细'!D165,":"),"")</f>
        <v/>
      </c>
      <c r="D491" s="6">
        <f>IFERROR(VALUE(TEXTBEFORE(TEXTAFTER('周计划明细'!D165,"|"),"h")),0)</f>
        <v/>
      </c>
    </row>
    <row r="492">
      <c r="A492" s="6" t="n">
        <v>165</v>
      </c>
      <c r="B492" s="6" t="inlineStr">
        <is>
          <t>下午</t>
        </is>
      </c>
      <c r="C492" s="6">
        <f>IFERROR(TEXTBEFORE('周计划明细'!E165,":"),"")</f>
        <v/>
      </c>
      <c r="D492" s="6">
        <f>IFERROR(VALUE(TEXTBEFORE(TEXTAFTER('周计划明细'!E165,"|"),"h")),0)</f>
        <v/>
      </c>
    </row>
    <row r="493">
      <c r="A493" s="6" t="n">
        <v>165</v>
      </c>
      <c r="B493" s="6" t="inlineStr">
        <is>
          <t>晚上</t>
        </is>
      </c>
      <c r="C493" s="6">
        <f>IFERROR(TEXTBEFORE('周计划明细'!F165,":"),"")</f>
        <v/>
      </c>
      <c r="D493" s="6">
        <f>IFERROR(VALUE(TEXTBEFORE(TEXTAFTER('周计划明细'!F165,"|"),"h")),0)</f>
        <v/>
      </c>
    </row>
    <row r="494">
      <c r="A494" s="6" t="n">
        <v>166</v>
      </c>
      <c r="B494" s="6" t="inlineStr">
        <is>
          <t>上午</t>
        </is>
      </c>
      <c r="C494" s="6">
        <f>IFERROR(TEXTBEFORE('周计划明细'!D166,":"),"")</f>
        <v/>
      </c>
      <c r="D494" s="6">
        <f>IFERROR(VALUE(TEXTBEFORE(TEXTAFTER('周计划明细'!D166,"|"),"h")),0)</f>
        <v/>
      </c>
    </row>
    <row r="495">
      <c r="A495" s="6" t="n">
        <v>166</v>
      </c>
      <c r="B495" s="6" t="inlineStr">
        <is>
          <t>下午</t>
        </is>
      </c>
      <c r="C495" s="6">
        <f>IFERROR(TEXTBEFORE('周计划明细'!E166,":"),"")</f>
        <v/>
      </c>
      <c r="D495" s="6">
        <f>IFERROR(VALUE(TEXTBEFORE(TEXTAFTER('周计划明细'!E166,"|"),"h")),0)</f>
        <v/>
      </c>
    </row>
    <row r="496">
      <c r="A496" s="6" t="n">
        <v>166</v>
      </c>
      <c r="B496" s="6" t="inlineStr">
        <is>
          <t>晚上</t>
        </is>
      </c>
      <c r="C496" s="6">
        <f>IFERROR(TEXTBEFORE('周计划明细'!F166,":"),"")</f>
        <v/>
      </c>
      <c r="D496" s="6">
        <f>IFERROR(VALUE(TEXTBEFORE(TEXTAFTER('周计划明细'!F166,"|"),"h")),0)</f>
        <v/>
      </c>
    </row>
    <row r="497">
      <c r="A497" s="6" t="n">
        <v>167</v>
      </c>
      <c r="B497" s="6" t="inlineStr">
        <is>
          <t>上午</t>
        </is>
      </c>
      <c r="C497" s="6">
        <f>IFERROR(TEXTBEFORE('周计划明细'!D167,":"),"")</f>
        <v/>
      </c>
      <c r="D497" s="6">
        <f>IFERROR(VALUE(TEXTBEFORE(TEXTAFTER('周计划明细'!D167,"|"),"h")),0)</f>
        <v/>
      </c>
    </row>
    <row r="498">
      <c r="A498" s="6" t="n">
        <v>167</v>
      </c>
      <c r="B498" s="6" t="inlineStr">
        <is>
          <t>下午</t>
        </is>
      </c>
      <c r="C498" s="6">
        <f>IFERROR(TEXTBEFORE('周计划明细'!E167,":"),"")</f>
        <v/>
      </c>
      <c r="D498" s="6">
        <f>IFERROR(VALUE(TEXTBEFORE(TEXTAFTER('周计划明细'!E167,"|"),"h")),0)</f>
        <v/>
      </c>
    </row>
    <row r="499">
      <c r="A499" s="6" t="n">
        <v>167</v>
      </c>
      <c r="B499" s="6" t="inlineStr">
        <is>
          <t>晚上</t>
        </is>
      </c>
      <c r="C499" s="6">
        <f>IFERROR(TEXTBEFORE('周计划明细'!F167,":"),"")</f>
        <v/>
      </c>
      <c r="D499" s="6">
        <f>IFERROR(VALUE(TEXTBEFORE(TEXTAFTER('周计划明细'!F167,"|"),"h")),0)</f>
        <v/>
      </c>
    </row>
    <row r="500">
      <c r="A500" s="6" t="n">
        <v>168</v>
      </c>
      <c r="B500" s="6" t="inlineStr">
        <is>
          <t>上午</t>
        </is>
      </c>
      <c r="C500" s="6">
        <f>IFERROR(TEXTBEFORE('周计划明细'!D168,":"),"")</f>
        <v/>
      </c>
      <c r="D500" s="6">
        <f>IFERROR(VALUE(TEXTBEFORE(TEXTAFTER('周计划明细'!D168,"|"),"h")),0)</f>
        <v/>
      </c>
    </row>
    <row r="501">
      <c r="A501" s="6" t="n">
        <v>168</v>
      </c>
      <c r="B501" s="6" t="inlineStr">
        <is>
          <t>下午</t>
        </is>
      </c>
      <c r="C501" s="6">
        <f>IFERROR(TEXTBEFORE('周计划明细'!E168,":"),"")</f>
        <v/>
      </c>
      <c r="D501" s="6">
        <f>IFERROR(VALUE(TEXTBEFORE(TEXTAFTER('周计划明细'!E168,"|"),"h")),0)</f>
        <v/>
      </c>
    </row>
    <row r="502">
      <c r="A502" s="6" t="n">
        <v>168</v>
      </c>
      <c r="B502" s="6" t="inlineStr">
        <is>
          <t>晚上</t>
        </is>
      </c>
      <c r="C502" s="6">
        <f>IFERROR(TEXTBEFORE('周计划明细'!F168,":"),"")</f>
        <v/>
      </c>
      <c r="D502" s="6">
        <f>IFERROR(VALUE(TEXTBEFORE(TEXTAFTER('周计划明细'!F168,"|"),"h")),0)</f>
        <v/>
      </c>
    </row>
    <row r="503">
      <c r="A503" s="6" t="n">
        <v>169</v>
      </c>
      <c r="B503" s="6" t="inlineStr">
        <is>
          <t>上午</t>
        </is>
      </c>
      <c r="C503" s="6">
        <f>IFERROR(TEXTBEFORE('周计划明细'!D169,":"),"")</f>
        <v/>
      </c>
      <c r="D503" s="6">
        <f>IFERROR(VALUE(TEXTBEFORE(TEXTAFTER('周计划明细'!D169,"|"),"h")),0)</f>
        <v/>
      </c>
    </row>
    <row r="504">
      <c r="A504" s="6" t="n">
        <v>169</v>
      </c>
      <c r="B504" s="6" t="inlineStr">
        <is>
          <t>下午</t>
        </is>
      </c>
      <c r="C504" s="6">
        <f>IFERROR(TEXTBEFORE('周计划明细'!E169,":"),"")</f>
        <v/>
      </c>
      <c r="D504" s="6">
        <f>IFERROR(VALUE(TEXTBEFORE(TEXTAFTER('周计划明细'!E169,"|"),"h")),0)</f>
        <v/>
      </c>
    </row>
    <row r="505">
      <c r="A505" s="6" t="n">
        <v>169</v>
      </c>
      <c r="B505" s="6" t="inlineStr">
        <is>
          <t>晚上</t>
        </is>
      </c>
      <c r="C505" s="6">
        <f>IFERROR(TEXTBEFORE('周计划明细'!F169,":"),"")</f>
        <v/>
      </c>
      <c r="D505" s="6">
        <f>IFERROR(VALUE(TEXTBEFORE(TEXTAFTER('周计划明细'!F169,"|"),"h")),0)</f>
        <v/>
      </c>
    </row>
    <row r="506">
      <c r="A506" s="6" t="n">
        <v>170</v>
      </c>
      <c r="B506" s="6" t="inlineStr">
        <is>
          <t>上午</t>
        </is>
      </c>
      <c r="C506" s="6">
        <f>IFERROR(TEXTBEFORE('周计划明细'!D170,":"),"")</f>
        <v/>
      </c>
      <c r="D506" s="6">
        <f>IFERROR(VALUE(TEXTBEFORE(TEXTAFTER('周计划明细'!D170,"|"),"h")),0)</f>
        <v/>
      </c>
    </row>
    <row r="507">
      <c r="A507" s="6" t="n">
        <v>170</v>
      </c>
      <c r="B507" s="6" t="inlineStr">
        <is>
          <t>下午</t>
        </is>
      </c>
      <c r="C507" s="6">
        <f>IFERROR(TEXTBEFORE('周计划明细'!E170,":"),"")</f>
        <v/>
      </c>
      <c r="D507" s="6">
        <f>IFERROR(VALUE(TEXTBEFORE(TEXTAFTER('周计划明细'!E170,"|"),"h")),0)</f>
        <v/>
      </c>
    </row>
    <row r="508">
      <c r="A508" s="6" t="n">
        <v>170</v>
      </c>
      <c r="B508" s="6" t="inlineStr">
        <is>
          <t>晚上</t>
        </is>
      </c>
      <c r="C508" s="6">
        <f>IFERROR(TEXTBEFORE('周计划明细'!F170,":"),"")</f>
        <v/>
      </c>
      <c r="D508" s="6">
        <f>IFERROR(VALUE(TEXTBEFORE(TEXTAFTER('周计划明细'!F170,"|"),"h")),0)</f>
        <v/>
      </c>
    </row>
    <row r="509">
      <c r="A509" s="6" t="n">
        <v>171</v>
      </c>
      <c r="B509" s="6" t="inlineStr">
        <is>
          <t>上午</t>
        </is>
      </c>
      <c r="C509" s="6">
        <f>IFERROR(TEXTBEFORE('周计划明细'!D171,":"),"")</f>
        <v/>
      </c>
      <c r="D509" s="6">
        <f>IFERROR(VALUE(TEXTBEFORE(TEXTAFTER('周计划明细'!D171,"|"),"h")),0)</f>
        <v/>
      </c>
    </row>
    <row r="510">
      <c r="A510" s="6" t="n">
        <v>171</v>
      </c>
      <c r="B510" s="6" t="inlineStr">
        <is>
          <t>下午</t>
        </is>
      </c>
      <c r="C510" s="6">
        <f>IFERROR(TEXTBEFORE('周计划明细'!E171,":"),"")</f>
        <v/>
      </c>
      <c r="D510" s="6">
        <f>IFERROR(VALUE(TEXTBEFORE(TEXTAFTER('周计划明细'!E171,"|"),"h")),0)</f>
        <v/>
      </c>
    </row>
    <row r="511">
      <c r="A511" s="6" t="n">
        <v>171</v>
      </c>
      <c r="B511" s="6" t="inlineStr">
        <is>
          <t>晚上</t>
        </is>
      </c>
      <c r="C511" s="6">
        <f>IFERROR(TEXTBEFORE('周计划明细'!F171,":"),"")</f>
        <v/>
      </c>
      <c r="D511" s="6">
        <f>IFERROR(VALUE(TEXTBEFORE(TEXTAFTER('周计划明细'!F171,"|"),"h")),0)</f>
        <v/>
      </c>
    </row>
    <row r="512">
      <c r="A512" s="6" t="n">
        <v>172</v>
      </c>
      <c r="B512" s="6" t="inlineStr">
        <is>
          <t>上午</t>
        </is>
      </c>
      <c r="C512" s="6">
        <f>IFERROR(TEXTBEFORE('周计划明细'!D172,":"),"")</f>
        <v/>
      </c>
      <c r="D512" s="6">
        <f>IFERROR(VALUE(TEXTBEFORE(TEXTAFTER('周计划明细'!D172,"|"),"h")),0)</f>
        <v/>
      </c>
    </row>
    <row r="513">
      <c r="A513" s="6" t="n">
        <v>172</v>
      </c>
      <c r="B513" s="6" t="inlineStr">
        <is>
          <t>下午</t>
        </is>
      </c>
      <c r="C513" s="6">
        <f>IFERROR(TEXTBEFORE('周计划明细'!E172,":"),"")</f>
        <v/>
      </c>
      <c r="D513" s="6">
        <f>IFERROR(VALUE(TEXTBEFORE(TEXTAFTER('周计划明细'!E172,"|"),"h")),0)</f>
        <v/>
      </c>
    </row>
    <row r="514">
      <c r="A514" s="6" t="n">
        <v>172</v>
      </c>
      <c r="B514" s="6" t="inlineStr">
        <is>
          <t>晚上</t>
        </is>
      </c>
      <c r="C514" s="6">
        <f>IFERROR(TEXTBEFORE('周计划明细'!F172,":"),"")</f>
        <v/>
      </c>
      <c r="D514" s="6">
        <f>IFERROR(VALUE(TEXTBEFORE(TEXTAFTER('周计划明细'!F172,"|"),"h")),0)</f>
        <v/>
      </c>
    </row>
    <row r="515">
      <c r="A515" s="6" t="n">
        <v>173</v>
      </c>
      <c r="B515" s="6" t="inlineStr">
        <is>
          <t>上午</t>
        </is>
      </c>
      <c r="C515" s="6">
        <f>IFERROR(TEXTBEFORE('周计划明细'!D173,":"),"")</f>
        <v/>
      </c>
      <c r="D515" s="6">
        <f>IFERROR(VALUE(TEXTBEFORE(TEXTAFTER('周计划明细'!D173,"|"),"h")),0)</f>
        <v/>
      </c>
    </row>
    <row r="516">
      <c r="A516" s="6" t="n">
        <v>173</v>
      </c>
      <c r="B516" s="6" t="inlineStr">
        <is>
          <t>下午</t>
        </is>
      </c>
      <c r="C516" s="6">
        <f>IFERROR(TEXTBEFORE('周计划明细'!E173,":"),"")</f>
        <v/>
      </c>
      <c r="D516" s="6">
        <f>IFERROR(VALUE(TEXTBEFORE(TEXTAFTER('周计划明细'!E173,"|"),"h")),0)</f>
        <v/>
      </c>
    </row>
    <row r="517">
      <c r="A517" s="6" t="n">
        <v>173</v>
      </c>
      <c r="B517" s="6" t="inlineStr">
        <is>
          <t>晚上</t>
        </is>
      </c>
      <c r="C517" s="6">
        <f>IFERROR(TEXTBEFORE('周计划明细'!F173,":"),"")</f>
        <v/>
      </c>
      <c r="D517" s="6">
        <f>IFERROR(VALUE(TEXTBEFORE(TEXTAFTER('周计划明细'!F173,"|"),"h")),0)</f>
        <v/>
      </c>
    </row>
    <row r="518">
      <c r="A518" s="6" t="n">
        <v>174</v>
      </c>
      <c r="B518" s="6" t="inlineStr">
        <is>
          <t>上午</t>
        </is>
      </c>
      <c r="C518" s="6">
        <f>IFERROR(TEXTBEFORE('周计划明细'!D174,":"),"")</f>
        <v/>
      </c>
      <c r="D518" s="6">
        <f>IFERROR(VALUE(TEXTBEFORE(TEXTAFTER('周计划明细'!D174,"|"),"h")),0)</f>
        <v/>
      </c>
    </row>
    <row r="519">
      <c r="A519" s="6" t="n">
        <v>174</v>
      </c>
      <c r="B519" s="6" t="inlineStr">
        <is>
          <t>下午</t>
        </is>
      </c>
      <c r="C519" s="6">
        <f>IFERROR(TEXTBEFORE('周计划明细'!E174,":"),"")</f>
        <v/>
      </c>
      <c r="D519" s="6">
        <f>IFERROR(VALUE(TEXTBEFORE(TEXTAFTER('周计划明细'!E174,"|"),"h")),0)</f>
        <v/>
      </c>
    </row>
    <row r="520">
      <c r="A520" s="6" t="n">
        <v>174</v>
      </c>
      <c r="B520" s="6" t="inlineStr">
        <is>
          <t>晚上</t>
        </is>
      </c>
      <c r="C520" s="6">
        <f>IFERROR(TEXTBEFORE('周计划明细'!F174,":"),"")</f>
        <v/>
      </c>
      <c r="D520" s="6">
        <f>IFERROR(VALUE(TEXTBEFORE(TEXTAFTER('周计划明细'!F174,"|"),"h")),0)</f>
        <v/>
      </c>
    </row>
    <row r="521">
      <c r="A521" s="6" t="n">
        <v>175</v>
      </c>
      <c r="B521" s="6" t="inlineStr">
        <is>
          <t>上午</t>
        </is>
      </c>
      <c r="C521" s="6">
        <f>IFERROR(TEXTBEFORE('周计划明细'!D175,":"),"")</f>
        <v/>
      </c>
      <c r="D521" s="6">
        <f>IFERROR(VALUE(TEXTBEFORE(TEXTAFTER('周计划明细'!D175,"|"),"h")),0)</f>
        <v/>
      </c>
    </row>
    <row r="522">
      <c r="A522" s="6" t="n">
        <v>175</v>
      </c>
      <c r="B522" s="6" t="inlineStr">
        <is>
          <t>下午</t>
        </is>
      </c>
      <c r="C522" s="6">
        <f>IFERROR(TEXTBEFORE('周计划明细'!E175,":"),"")</f>
        <v/>
      </c>
      <c r="D522" s="6">
        <f>IFERROR(VALUE(TEXTBEFORE(TEXTAFTER('周计划明细'!E175,"|"),"h")),0)</f>
        <v/>
      </c>
    </row>
    <row r="523">
      <c r="A523" s="6" t="n">
        <v>175</v>
      </c>
      <c r="B523" s="6" t="inlineStr">
        <is>
          <t>晚上</t>
        </is>
      </c>
      <c r="C523" s="6">
        <f>IFERROR(TEXTBEFORE('周计划明细'!F175,":"),"")</f>
        <v/>
      </c>
      <c r="D523" s="6">
        <f>IFERROR(VALUE(TEXTBEFORE(TEXTAFTER('周计划明细'!F175,"|"),"h")),0)</f>
        <v/>
      </c>
    </row>
    <row r="524">
      <c r="A524" s="6" t="n">
        <v>176</v>
      </c>
      <c r="B524" s="6" t="inlineStr">
        <is>
          <t>上午</t>
        </is>
      </c>
      <c r="C524" s="6">
        <f>IFERROR(TEXTBEFORE('周计划明细'!D176,":"),"")</f>
        <v/>
      </c>
      <c r="D524" s="6">
        <f>IFERROR(VALUE(TEXTBEFORE(TEXTAFTER('周计划明细'!D176,"|"),"h")),0)</f>
        <v/>
      </c>
    </row>
    <row r="525">
      <c r="A525" s="6" t="n">
        <v>176</v>
      </c>
      <c r="B525" s="6" t="inlineStr">
        <is>
          <t>下午</t>
        </is>
      </c>
      <c r="C525" s="6">
        <f>IFERROR(TEXTBEFORE('周计划明细'!E176,":"),"")</f>
        <v/>
      </c>
      <c r="D525" s="6">
        <f>IFERROR(VALUE(TEXTBEFORE(TEXTAFTER('周计划明细'!E176,"|"),"h")),0)</f>
        <v/>
      </c>
    </row>
    <row r="526">
      <c r="A526" s="6" t="n">
        <v>176</v>
      </c>
      <c r="B526" s="6" t="inlineStr">
        <is>
          <t>晚上</t>
        </is>
      </c>
      <c r="C526" s="6">
        <f>IFERROR(TEXTBEFORE('周计划明细'!F176,":"),"")</f>
        <v/>
      </c>
      <c r="D526" s="6">
        <f>IFERROR(VALUE(TEXTBEFORE(TEXTAFTER('周计划明细'!F176,"|"),"h")),0)</f>
        <v/>
      </c>
    </row>
    <row r="527">
      <c r="A527" s="6" t="n">
        <v>177</v>
      </c>
      <c r="B527" s="6" t="inlineStr">
        <is>
          <t>上午</t>
        </is>
      </c>
      <c r="C527" s="6">
        <f>IFERROR(TEXTBEFORE('周计划明细'!D177,":"),"")</f>
        <v/>
      </c>
      <c r="D527" s="6">
        <f>IFERROR(VALUE(TEXTBEFORE(TEXTAFTER('周计划明细'!D177,"|"),"h")),0)</f>
        <v/>
      </c>
    </row>
    <row r="528">
      <c r="A528" s="6" t="n">
        <v>177</v>
      </c>
      <c r="B528" s="6" t="inlineStr">
        <is>
          <t>下午</t>
        </is>
      </c>
      <c r="C528" s="6">
        <f>IFERROR(TEXTBEFORE('周计划明细'!E177,":"),"")</f>
        <v/>
      </c>
      <c r="D528" s="6">
        <f>IFERROR(VALUE(TEXTBEFORE(TEXTAFTER('周计划明细'!E177,"|"),"h")),0)</f>
        <v/>
      </c>
    </row>
    <row r="529">
      <c r="A529" s="6" t="n">
        <v>177</v>
      </c>
      <c r="B529" s="6" t="inlineStr">
        <is>
          <t>晚上</t>
        </is>
      </c>
      <c r="C529" s="6">
        <f>IFERROR(TEXTBEFORE('周计划明细'!F177,":"),"")</f>
        <v/>
      </c>
      <c r="D529" s="6">
        <f>IFERROR(VALUE(TEXTBEFORE(TEXTAFTER('周计划明细'!F177,"|"),"h")),0)</f>
        <v/>
      </c>
    </row>
    <row r="530">
      <c r="A530" s="6" t="n">
        <v>178</v>
      </c>
      <c r="B530" s="6" t="inlineStr">
        <is>
          <t>上午</t>
        </is>
      </c>
      <c r="C530" s="6">
        <f>IFERROR(TEXTBEFORE('周计划明细'!D178,":"),"")</f>
        <v/>
      </c>
      <c r="D530" s="6">
        <f>IFERROR(VALUE(TEXTBEFORE(TEXTAFTER('周计划明细'!D178,"|"),"h")),0)</f>
        <v/>
      </c>
    </row>
    <row r="531">
      <c r="A531" s="6" t="n">
        <v>178</v>
      </c>
      <c r="B531" s="6" t="inlineStr">
        <is>
          <t>下午</t>
        </is>
      </c>
      <c r="C531" s="6">
        <f>IFERROR(TEXTBEFORE('周计划明细'!E178,":"),"")</f>
        <v/>
      </c>
      <c r="D531" s="6">
        <f>IFERROR(VALUE(TEXTBEFORE(TEXTAFTER('周计划明细'!E178,"|"),"h")),0)</f>
        <v/>
      </c>
    </row>
    <row r="532">
      <c r="A532" s="6" t="n">
        <v>178</v>
      </c>
      <c r="B532" s="6" t="inlineStr">
        <is>
          <t>晚上</t>
        </is>
      </c>
      <c r="C532" s="6">
        <f>IFERROR(TEXTBEFORE('周计划明细'!F178,":"),"")</f>
        <v/>
      </c>
      <c r="D532" s="6">
        <f>IFERROR(VALUE(TEXTBEFORE(TEXTAFTER('周计划明细'!F178,"|"),"h")),0)</f>
        <v/>
      </c>
    </row>
    <row r="533">
      <c r="A533" s="6" t="n">
        <v>179</v>
      </c>
      <c r="B533" s="6" t="inlineStr">
        <is>
          <t>上午</t>
        </is>
      </c>
      <c r="C533" s="6">
        <f>IFERROR(TEXTBEFORE('周计划明细'!D179,":"),"")</f>
        <v/>
      </c>
      <c r="D533" s="6">
        <f>IFERROR(VALUE(TEXTBEFORE(TEXTAFTER('周计划明细'!D179,"|"),"h")),0)</f>
        <v/>
      </c>
    </row>
    <row r="534">
      <c r="A534" s="6" t="n">
        <v>179</v>
      </c>
      <c r="B534" s="6" t="inlineStr">
        <is>
          <t>下午</t>
        </is>
      </c>
      <c r="C534" s="6">
        <f>IFERROR(TEXTBEFORE('周计划明细'!E179,":"),"")</f>
        <v/>
      </c>
      <c r="D534" s="6">
        <f>IFERROR(VALUE(TEXTBEFORE(TEXTAFTER('周计划明细'!E179,"|"),"h")),0)</f>
        <v/>
      </c>
    </row>
    <row r="535">
      <c r="A535" s="6" t="n">
        <v>179</v>
      </c>
      <c r="B535" s="6" t="inlineStr">
        <is>
          <t>晚上</t>
        </is>
      </c>
      <c r="C535" s="6">
        <f>IFERROR(TEXTBEFORE('周计划明细'!F179,":"),"")</f>
        <v/>
      </c>
      <c r="D535" s="6">
        <f>IFERROR(VALUE(TEXTBEFORE(TEXTAFTER('周计划明细'!F179,"|"),"h")),0)</f>
        <v/>
      </c>
    </row>
    <row r="536">
      <c r="A536" s="6" t="n">
        <v>180</v>
      </c>
      <c r="B536" s="6" t="inlineStr">
        <is>
          <t>上午</t>
        </is>
      </c>
      <c r="C536" s="6">
        <f>IFERROR(TEXTBEFORE('周计划明细'!D180,":"),"")</f>
        <v/>
      </c>
      <c r="D536" s="6">
        <f>IFERROR(VALUE(TEXTBEFORE(TEXTAFTER('周计划明细'!D180,"|"),"h")),0)</f>
        <v/>
      </c>
    </row>
    <row r="537">
      <c r="A537" s="6" t="n">
        <v>180</v>
      </c>
      <c r="B537" s="6" t="inlineStr">
        <is>
          <t>下午</t>
        </is>
      </c>
      <c r="C537" s="6">
        <f>IFERROR(TEXTBEFORE('周计划明细'!E180,":"),"")</f>
        <v/>
      </c>
      <c r="D537" s="6">
        <f>IFERROR(VALUE(TEXTBEFORE(TEXTAFTER('周计划明细'!E180,"|"),"h")),0)</f>
        <v/>
      </c>
    </row>
    <row r="538">
      <c r="A538" s="6" t="n">
        <v>180</v>
      </c>
      <c r="B538" s="6" t="inlineStr">
        <is>
          <t>晚上</t>
        </is>
      </c>
      <c r="C538" s="6">
        <f>IFERROR(TEXTBEFORE('周计划明细'!F180,":"),"")</f>
        <v/>
      </c>
      <c r="D538" s="6">
        <f>IFERROR(VALUE(TEXTBEFORE(TEXTAFTER('周计划明细'!F180,"|"),"h")),0)</f>
        <v/>
      </c>
    </row>
    <row r="539">
      <c r="A539" s="6" t="n">
        <v>181</v>
      </c>
      <c r="B539" s="6" t="inlineStr">
        <is>
          <t>上午</t>
        </is>
      </c>
      <c r="C539" s="6">
        <f>IFERROR(TEXTBEFORE('周计划明细'!D181,":"),"")</f>
        <v/>
      </c>
      <c r="D539" s="6">
        <f>IFERROR(VALUE(TEXTBEFORE(TEXTAFTER('周计划明细'!D181,"|"),"h")),0)</f>
        <v/>
      </c>
    </row>
    <row r="540">
      <c r="A540" s="6" t="n">
        <v>181</v>
      </c>
      <c r="B540" s="6" t="inlineStr">
        <is>
          <t>下午</t>
        </is>
      </c>
      <c r="C540" s="6">
        <f>IFERROR(TEXTBEFORE('周计划明细'!E181,":"),"")</f>
        <v/>
      </c>
      <c r="D540" s="6">
        <f>IFERROR(VALUE(TEXTBEFORE(TEXTAFTER('周计划明细'!E181,"|"),"h")),0)</f>
        <v/>
      </c>
    </row>
    <row r="541">
      <c r="A541" s="6" t="n">
        <v>181</v>
      </c>
      <c r="B541" s="6" t="inlineStr">
        <is>
          <t>晚上</t>
        </is>
      </c>
      <c r="C541" s="6">
        <f>IFERROR(TEXTBEFORE('周计划明细'!F181,":"),"")</f>
        <v/>
      </c>
      <c r="D541" s="6">
        <f>IFERROR(VALUE(TEXTBEFORE(TEXTAFTER('周计划明细'!F181,"|"),"h")),0)</f>
        <v/>
      </c>
    </row>
    <row r="542">
      <c r="A542" s="6" t="n">
        <v>182</v>
      </c>
      <c r="B542" s="6" t="inlineStr">
        <is>
          <t>上午</t>
        </is>
      </c>
      <c r="C542" s="6">
        <f>IFERROR(TEXTBEFORE('周计划明细'!D182,":"),"")</f>
        <v/>
      </c>
      <c r="D542" s="6">
        <f>IFERROR(VALUE(TEXTBEFORE(TEXTAFTER('周计划明细'!D182,"|"),"h")),0)</f>
        <v/>
      </c>
    </row>
    <row r="543">
      <c r="A543" s="6" t="n">
        <v>182</v>
      </c>
      <c r="B543" s="6" t="inlineStr">
        <is>
          <t>下午</t>
        </is>
      </c>
      <c r="C543" s="6">
        <f>IFERROR(TEXTBEFORE('周计划明细'!E182,":"),"")</f>
        <v/>
      </c>
      <c r="D543" s="6">
        <f>IFERROR(VALUE(TEXTBEFORE(TEXTAFTER('周计划明细'!E182,"|"),"h")),0)</f>
        <v/>
      </c>
    </row>
    <row r="544">
      <c r="A544" s="6" t="n">
        <v>182</v>
      </c>
      <c r="B544" s="6" t="inlineStr">
        <is>
          <t>晚上</t>
        </is>
      </c>
      <c r="C544" s="6">
        <f>IFERROR(TEXTBEFORE('周计划明细'!F182,":"),"")</f>
        <v/>
      </c>
      <c r="D544" s="6">
        <f>IFERROR(VALUE(TEXTBEFORE(TEXTAFTER('周计划明细'!F182,"|"),"h")),0)</f>
        <v/>
      </c>
    </row>
    <row r="545">
      <c r="A545" s="6" t="n">
        <v>183</v>
      </c>
      <c r="B545" s="6" t="inlineStr">
        <is>
          <t>上午</t>
        </is>
      </c>
      <c r="C545" s="6">
        <f>IFERROR(TEXTBEFORE('周计划明细'!D183,":"),"")</f>
        <v/>
      </c>
      <c r="D545" s="6">
        <f>IFERROR(VALUE(TEXTBEFORE(TEXTAFTER('周计划明细'!D183,"|"),"h")),0)</f>
        <v/>
      </c>
    </row>
    <row r="546">
      <c r="A546" s="6" t="n">
        <v>183</v>
      </c>
      <c r="B546" s="6" t="inlineStr">
        <is>
          <t>下午</t>
        </is>
      </c>
      <c r="C546" s="6">
        <f>IFERROR(TEXTBEFORE('周计划明细'!E183,":"),"")</f>
        <v/>
      </c>
      <c r="D546" s="6">
        <f>IFERROR(VALUE(TEXTBEFORE(TEXTAFTER('周计划明细'!E183,"|"),"h")),0)</f>
        <v/>
      </c>
    </row>
    <row r="547">
      <c r="A547" s="6" t="n">
        <v>183</v>
      </c>
      <c r="B547" s="6" t="inlineStr">
        <is>
          <t>晚上</t>
        </is>
      </c>
      <c r="C547" s="6">
        <f>IFERROR(TEXTBEFORE('周计划明细'!F183,":"),"")</f>
        <v/>
      </c>
      <c r="D547" s="6">
        <f>IFERROR(VALUE(TEXTBEFORE(TEXTAFTER('周计划明细'!F183,"|"),"h")),0)</f>
        <v/>
      </c>
    </row>
    <row r="548">
      <c r="A548" s="6" t="n">
        <v>184</v>
      </c>
      <c r="B548" s="6" t="inlineStr">
        <is>
          <t>上午</t>
        </is>
      </c>
      <c r="C548" s="6">
        <f>IFERROR(TEXTBEFORE('周计划明细'!D184,":"),"")</f>
        <v/>
      </c>
      <c r="D548" s="6">
        <f>IFERROR(VALUE(TEXTBEFORE(TEXTAFTER('周计划明细'!D184,"|"),"h")),0)</f>
        <v/>
      </c>
    </row>
    <row r="549">
      <c r="A549" s="6" t="n">
        <v>184</v>
      </c>
      <c r="B549" s="6" t="inlineStr">
        <is>
          <t>下午</t>
        </is>
      </c>
      <c r="C549" s="6">
        <f>IFERROR(TEXTBEFORE('周计划明细'!E184,":"),"")</f>
        <v/>
      </c>
      <c r="D549" s="6">
        <f>IFERROR(VALUE(TEXTBEFORE(TEXTAFTER('周计划明细'!E184,"|"),"h")),0)</f>
        <v/>
      </c>
    </row>
    <row r="550">
      <c r="A550" s="6" t="n">
        <v>184</v>
      </c>
      <c r="B550" s="6" t="inlineStr">
        <is>
          <t>晚上</t>
        </is>
      </c>
      <c r="C550" s="6">
        <f>IFERROR(TEXTBEFORE('周计划明细'!F184,":"),"")</f>
        <v/>
      </c>
      <c r="D550" s="6">
        <f>IFERROR(VALUE(TEXTBEFORE(TEXTAFTER('周计划明细'!F184,"|"),"h")),0)</f>
        <v/>
      </c>
    </row>
    <row r="551">
      <c r="A551" s="6" t="n">
        <v>185</v>
      </c>
      <c r="B551" s="6" t="inlineStr">
        <is>
          <t>上午</t>
        </is>
      </c>
      <c r="C551" s="6">
        <f>IFERROR(TEXTBEFORE('周计划明细'!D185,":"),"")</f>
        <v/>
      </c>
      <c r="D551" s="6">
        <f>IFERROR(VALUE(TEXTBEFORE(TEXTAFTER('周计划明细'!D185,"|"),"h")),0)</f>
        <v/>
      </c>
    </row>
    <row r="552">
      <c r="A552" s="6" t="n">
        <v>185</v>
      </c>
      <c r="B552" s="6" t="inlineStr">
        <is>
          <t>下午</t>
        </is>
      </c>
      <c r="C552" s="6">
        <f>IFERROR(TEXTBEFORE('周计划明细'!E185,":"),"")</f>
        <v/>
      </c>
      <c r="D552" s="6">
        <f>IFERROR(VALUE(TEXTBEFORE(TEXTAFTER('周计划明细'!E185,"|"),"h")),0)</f>
        <v/>
      </c>
    </row>
    <row r="553">
      <c r="A553" s="6" t="n">
        <v>185</v>
      </c>
      <c r="B553" s="6" t="inlineStr">
        <is>
          <t>晚上</t>
        </is>
      </c>
      <c r="C553" s="6">
        <f>IFERROR(TEXTBEFORE('周计划明细'!F185,":"),"")</f>
        <v/>
      </c>
      <c r="D553" s="6">
        <f>IFERROR(VALUE(TEXTBEFORE(TEXTAFTER('周计划明细'!F185,"|"),"h")),0)</f>
        <v/>
      </c>
    </row>
    <row r="554">
      <c r="A554" s="6" t="n">
        <v>186</v>
      </c>
      <c r="B554" s="6" t="inlineStr">
        <is>
          <t>上午</t>
        </is>
      </c>
      <c r="C554" s="6">
        <f>IFERROR(TEXTBEFORE('周计划明细'!D186,":"),"")</f>
        <v/>
      </c>
      <c r="D554" s="6">
        <f>IFERROR(VALUE(TEXTBEFORE(TEXTAFTER('周计划明细'!D186,"|"),"h")),0)</f>
        <v/>
      </c>
    </row>
    <row r="555">
      <c r="A555" s="6" t="n">
        <v>186</v>
      </c>
      <c r="B555" s="6" t="inlineStr">
        <is>
          <t>下午</t>
        </is>
      </c>
      <c r="C555" s="6">
        <f>IFERROR(TEXTBEFORE('周计划明细'!E186,":"),"")</f>
        <v/>
      </c>
      <c r="D555" s="6">
        <f>IFERROR(VALUE(TEXTBEFORE(TEXTAFTER('周计划明细'!E186,"|"),"h")),0)</f>
        <v/>
      </c>
    </row>
    <row r="556">
      <c r="A556" s="6" t="n">
        <v>186</v>
      </c>
      <c r="B556" s="6" t="inlineStr">
        <is>
          <t>晚上</t>
        </is>
      </c>
      <c r="C556" s="6">
        <f>IFERROR(TEXTBEFORE('周计划明细'!F186,":"),"")</f>
        <v/>
      </c>
      <c r="D556" s="6">
        <f>IFERROR(VALUE(TEXTBEFORE(TEXTAFTER('周计划明细'!F186,"|"),"h")),0)</f>
        <v/>
      </c>
    </row>
    <row r="557">
      <c r="A557" s="6" t="n">
        <v>187</v>
      </c>
      <c r="B557" s="6" t="inlineStr">
        <is>
          <t>上午</t>
        </is>
      </c>
      <c r="C557" s="6">
        <f>IFERROR(TEXTBEFORE('周计划明细'!D187,":"),"")</f>
        <v/>
      </c>
      <c r="D557" s="6">
        <f>IFERROR(VALUE(TEXTBEFORE(TEXTAFTER('周计划明细'!D187,"|"),"h")),0)</f>
        <v/>
      </c>
    </row>
    <row r="558">
      <c r="A558" s="6" t="n">
        <v>187</v>
      </c>
      <c r="B558" s="6" t="inlineStr">
        <is>
          <t>下午</t>
        </is>
      </c>
      <c r="C558" s="6">
        <f>IFERROR(TEXTBEFORE('周计划明细'!E187,":"),"")</f>
        <v/>
      </c>
      <c r="D558" s="6">
        <f>IFERROR(VALUE(TEXTBEFORE(TEXTAFTER('周计划明细'!E187,"|"),"h")),0)</f>
        <v/>
      </c>
    </row>
    <row r="559">
      <c r="A559" s="6" t="n">
        <v>187</v>
      </c>
      <c r="B559" s="6" t="inlineStr">
        <is>
          <t>晚上</t>
        </is>
      </c>
      <c r="C559" s="6">
        <f>IFERROR(TEXTBEFORE('周计划明细'!F187,":"),"")</f>
        <v/>
      </c>
      <c r="D559" s="6">
        <f>IFERROR(VALUE(TEXTBEFORE(TEXTAFTER('周计划明细'!F187,"|"),"h")),0)</f>
        <v/>
      </c>
    </row>
    <row r="560">
      <c r="A560" s="6" t="n">
        <v>188</v>
      </c>
      <c r="B560" s="6" t="inlineStr">
        <is>
          <t>上午</t>
        </is>
      </c>
      <c r="C560" s="6">
        <f>IFERROR(TEXTBEFORE('周计划明细'!D188,":"),"")</f>
        <v/>
      </c>
      <c r="D560" s="6">
        <f>IFERROR(VALUE(TEXTBEFORE(TEXTAFTER('周计划明细'!D188,"|"),"h")),0)</f>
        <v/>
      </c>
    </row>
    <row r="561">
      <c r="A561" s="6" t="n">
        <v>188</v>
      </c>
      <c r="B561" s="6" t="inlineStr">
        <is>
          <t>下午</t>
        </is>
      </c>
      <c r="C561" s="6">
        <f>IFERROR(TEXTBEFORE('周计划明细'!E188,":"),"")</f>
        <v/>
      </c>
      <c r="D561" s="6">
        <f>IFERROR(VALUE(TEXTBEFORE(TEXTAFTER('周计划明细'!E188,"|"),"h")),0)</f>
        <v/>
      </c>
    </row>
    <row r="562">
      <c r="A562" s="6" t="n">
        <v>188</v>
      </c>
      <c r="B562" s="6" t="inlineStr">
        <is>
          <t>晚上</t>
        </is>
      </c>
      <c r="C562" s="6">
        <f>IFERROR(TEXTBEFORE('周计划明细'!F188,":"),"")</f>
        <v/>
      </c>
      <c r="D562" s="6">
        <f>IFERROR(VALUE(TEXTBEFORE(TEXTAFTER('周计划明细'!F188,"|"),"h")),0)</f>
        <v/>
      </c>
    </row>
    <row r="563">
      <c r="A563" s="6" t="n">
        <v>189</v>
      </c>
      <c r="B563" s="6" t="inlineStr">
        <is>
          <t>上午</t>
        </is>
      </c>
      <c r="C563" s="6">
        <f>IFERROR(TEXTBEFORE('周计划明细'!D189,":"),"")</f>
        <v/>
      </c>
      <c r="D563" s="6">
        <f>IFERROR(VALUE(TEXTBEFORE(TEXTAFTER('周计划明细'!D189,"|"),"h")),0)</f>
        <v/>
      </c>
    </row>
    <row r="564">
      <c r="A564" s="6" t="n">
        <v>189</v>
      </c>
      <c r="B564" s="6" t="inlineStr">
        <is>
          <t>下午</t>
        </is>
      </c>
      <c r="C564" s="6">
        <f>IFERROR(TEXTBEFORE('周计划明细'!E189,":"),"")</f>
        <v/>
      </c>
      <c r="D564" s="6">
        <f>IFERROR(VALUE(TEXTBEFORE(TEXTAFTER('周计划明细'!E189,"|"),"h")),0)</f>
        <v/>
      </c>
    </row>
    <row r="565">
      <c r="A565" s="6" t="n">
        <v>189</v>
      </c>
      <c r="B565" s="6" t="inlineStr">
        <is>
          <t>晚上</t>
        </is>
      </c>
      <c r="C565" s="6">
        <f>IFERROR(TEXTBEFORE('周计划明细'!F189,":"),"")</f>
        <v/>
      </c>
      <c r="D565" s="6">
        <f>IFERROR(VALUE(TEXTBEFORE(TEXTAFTER('周计划明细'!F189,"|"),"h")),0)</f>
        <v/>
      </c>
    </row>
    <row r="566">
      <c r="A566" s="6" t="n">
        <v>190</v>
      </c>
      <c r="B566" s="6" t="inlineStr">
        <is>
          <t>上午</t>
        </is>
      </c>
      <c r="C566" s="6">
        <f>IFERROR(TEXTBEFORE('周计划明细'!D190,":"),"")</f>
        <v/>
      </c>
      <c r="D566" s="6">
        <f>IFERROR(VALUE(TEXTBEFORE(TEXTAFTER('周计划明细'!D190,"|"),"h")),0)</f>
        <v/>
      </c>
    </row>
    <row r="567">
      <c r="A567" s="6" t="n">
        <v>190</v>
      </c>
      <c r="B567" s="6" t="inlineStr">
        <is>
          <t>下午</t>
        </is>
      </c>
      <c r="C567" s="6">
        <f>IFERROR(TEXTBEFORE('周计划明细'!E190,":"),"")</f>
        <v/>
      </c>
      <c r="D567" s="6">
        <f>IFERROR(VALUE(TEXTBEFORE(TEXTAFTER('周计划明细'!E190,"|"),"h")),0)</f>
        <v/>
      </c>
    </row>
    <row r="568">
      <c r="A568" s="6" t="n">
        <v>190</v>
      </c>
      <c r="B568" s="6" t="inlineStr">
        <is>
          <t>晚上</t>
        </is>
      </c>
      <c r="C568" s="6">
        <f>IFERROR(TEXTBEFORE('周计划明细'!F190,":"),"")</f>
        <v/>
      </c>
      <c r="D568" s="6">
        <f>IFERROR(VALUE(TEXTBEFORE(TEXTAFTER('周计划明细'!F190,"|"),"h")),0)</f>
        <v/>
      </c>
    </row>
    <row r="569">
      <c r="A569" s="6" t="n">
        <v>191</v>
      </c>
      <c r="B569" s="6" t="inlineStr">
        <is>
          <t>上午</t>
        </is>
      </c>
      <c r="C569" s="6">
        <f>IFERROR(TEXTBEFORE('周计划明细'!D191,":"),"")</f>
        <v/>
      </c>
      <c r="D569" s="6">
        <f>IFERROR(VALUE(TEXTBEFORE(TEXTAFTER('周计划明细'!D191,"|"),"h")),0)</f>
        <v/>
      </c>
    </row>
    <row r="570">
      <c r="A570" s="6" t="n">
        <v>191</v>
      </c>
      <c r="B570" s="6" t="inlineStr">
        <is>
          <t>下午</t>
        </is>
      </c>
      <c r="C570" s="6">
        <f>IFERROR(TEXTBEFORE('周计划明细'!E191,":"),"")</f>
        <v/>
      </c>
      <c r="D570" s="6">
        <f>IFERROR(VALUE(TEXTBEFORE(TEXTAFTER('周计划明细'!E191,"|"),"h")),0)</f>
        <v/>
      </c>
    </row>
    <row r="571">
      <c r="A571" s="6" t="n">
        <v>191</v>
      </c>
      <c r="B571" s="6" t="inlineStr">
        <is>
          <t>晚上</t>
        </is>
      </c>
      <c r="C571" s="6">
        <f>IFERROR(TEXTBEFORE('周计划明细'!F191,":"),"")</f>
        <v/>
      </c>
      <c r="D571" s="6">
        <f>IFERROR(VALUE(TEXTBEFORE(TEXTAFTER('周计划明细'!F191,"|"),"h")),0)</f>
        <v/>
      </c>
    </row>
    <row r="572">
      <c r="A572" s="6" t="n">
        <v>192</v>
      </c>
      <c r="B572" s="6" t="inlineStr">
        <is>
          <t>上午</t>
        </is>
      </c>
      <c r="C572" s="6">
        <f>IFERROR(TEXTBEFORE('周计划明细'!D192,":"),"")</f>
        <v/>
      </c>
      <c r="D572" s="6">
        <f>IFERROR(VALUE(TEXTBEFORE(TEXTAFTER('周计划明细'!D192,"|"),"h")),0)</f>
        <v/>
      </c>
    </row>
    <row r="573">
      <c r="A573" s="6" t="n">
        <v>192</v>
      </c>
      <c r="B573" s="6" t="inlineStr">
        <is>
          <t>下午</t>
        </is>
      </c>
      <c r="C573" s="6">
        <f>IFERROR(TEXTBEFORE('周计划明细'!E192,":"),"")</f>
        <v/>
      </c>
      <c r="D573" s="6">
        <f>IFERROR(VALUE(TEXTBEFORE(TEXTAFTER('周计划明细'!E192,"|"),"h")),0)</f>
        <v/>
      </c>
    </row>
    <row r="574">
      <c r="A574" s="6" t="n">
        <v>192</v>
      </c>
      <c r="B574" s="6" t="inlineStr">
        <is>
          <t>晚上</t>
        </is>
      </c>
      <c r="C574" s="6">
        <f>IFERROR(TEXTBEFORE('周计划明细'!F192,":"),"")</f>
        <v/>
      </c>
      <c r="D574" s="6">
        <f>IFERROR(VALUE(TEXTBEFORE(TEXTAFTER('周计划明细'!F192,"|"),"h")),0)</f>
        <v/>
      </c>
    </row>
    <row r="575">
      <c r="A575" s="6" t="n">
        <v>193</v>
      </c>
      <c r="B575" s="6" t="inlineStr">
        <is>
          <t>上午</t>
        </is>
      </c>
      <c r="C575" s="6">
        <f>IFERROR(TEXTBEFORE('周计划明细'!D193,":"),"")</f>
        <v/>
      </c>
      <c r="D575" s="6">
        <f>IFERROR(VALUE(TEXTBEFORE(TEXTAFTER('周计划明细'!D193,"|"),"h")),0)</f>
        <v/>
      </c>
    </row>
    <row r="576">
      <c r="A576" s="6" t="n">
        <v>193</v>
      </c>
      <c r="B576" s="6" t="inlineStr">
        <is>
          <t>下午</t>
        </is>
      </c>
      <c r="C576" s="6">
        <f>IFERROR(TEXTBEFORE('周计划明细'!E193,":"),"")</f>
        <v/>
      </c>
      <c r="D576" s="6">
        <f>IFERROR(VALUE(TEXTBEFORE(TEXTAFTER('周计划明细'!E193,"|"),"h")),0)</f>
        <v/>
      </c>
    </row>
    <row r="577">
      <c r="A577" s="6" t="n">
        <v>193</v>
      </c>
      <c r="B577" s="6" t="inlineStr">
        <is>
          <t>晚上</t>
        </is>
      </c>
      <c r="C577" s="6">
        <f>IFERROR(TEXTBEFORE('周计划明细'!F193,":"),"")</f>
        <v/>
      </c>
      <c r="D577" s="6">
        <f>IFERROR(VALUE(TEXTBEFORE(TEXTAFTER('周计划明细'!F193,"|"),"h")),0)</f>
        <v/>
      </c>
    </row>
    <row r="578">
      <c r="A578" s="6" t="n">
        <v>194</v>
      </c>
      <c r="B578" s="6" t="inlineStr">
        <is>
          <t>上午</t>
        </is>
      </c>
      <c r="C578" s="6">
        <f>IFERROR(TEXTBEFORE('周计划明细'!D194,":"),"")</f>
        <v/>
      </c>
      <c r="D578" s="6">
        <f>IFERROR(VALUE(TEXTBEFORE(TEXTAFTER('周计划明细'!D194,"|"),"h")),0)</f>
        <v/>
      </c>
    </row>
    <row r="579">
      <c r="A579" s="6" t="n">
        <v>194</v>
      </c>
      <c r="B579" s="6" t="inlineStr">
        <is>
          <t>下午</t>
        </is>
      </c>
      <c r="C579" s="6">
        <f>IFERROR(TEXTBEFORE('周计划明细'!E194,":"),"")</f>
        <v/>
      </c>
      <c r="D579" s="6">
        <f>IFERROR(VALUE(TEXTBEFORE(TEXTAFTER('周计划明细'!E194,"|"),"h")),0)</f>
        <v/>
      </c>
    </row>
    <row r="580">
      <c r="A580" s="6" t="n">
        <v>194</v>
      </c>
      <c r="B580" s="6" t="inlineStr">
        <is>
          <t>晚上</t>
        </is>
      </c>
      <c r="C580" s="6">
        <f>IFERROR(TEXTBEFORE('周计划明细'!F194,":"),"")</f>
        <v/>
      </c>
      <c r="D580" s="6">
        <f>IFERROR(VALUE(TEXTBEFORE(TEXTAFTER('周计划明细'!F194,"|"),"h")),0)</f>
        <v/>
      </c>
    </row>
    <row r="581">
      <c r="A581" s="6" t="n">
        <v>195</v>
      </c>
      <c r="B581" s="6" t="inlineStr">
        <is>
          <t>上午</t>
        </is>
      </c>
      <c r="C581" s="6">
        <f>IFERROR(TEXTBEFORE('周计划明细'!D195,":"),"")</f>
        <v/>
      </c>
      <c r="D581" s="6">
        <f>IFERROR(VALUE(TEXTBEFORE(TEXTAFTER('周计划明细'!D195,"|"),"h")),0)</f>
        <v/>
      </c>
    </row>
    <row r="582">
      <c r="A582" s="6" t="n">
        <v>195</v>
      </c>
      <c r="B582" s="6" t="inlineStr">
        <is>
          <t>下午</t>
        </is>
      </c>
      <c r="C582" s="6">
        <f>IFERROR(TEXTBEFORE('周计划明细'!E195,":"),"")</f>
        <v/>
      </c>
      <c r="D582" s="6">
        <f>IFERROR(VALUE(TEXTBEFORE(TEXTAFTER('周计划明细'!E195,"|"),"h")),0)</f>
        <v/>
      </c>
    </row>
    <row r="583">
      <c r="A583" s="6" t="n">
        <v>195</v>
      </c>
      <c r="B583" s="6" t="inlineStr">
        <is>
          <t>晚上</t>
        </is>
      </c>
      <c r="C583" s="6">
        <f>IFERROR(TEXTBEFORE('周计划明细'!F195,":"),"")</f>
        <v/>
      </c>
      <c r="D583" s="6">
        <f>IFERROR(VALUE(TEXTBEFORE(TEXTAFTER('周计划明细'!F195,"|"),"h")),0)</f>
        <v/>
      </c>
    </row>
    <row r="584">
      <c r="A584" s="6" t="n">
        <v>196</v>
      </c>
      <c r="B584" s="6" t="inlineStr">
        <is>
          <t>上午</t>
        </is>
      </c>
      <c r="C584" s="6">
        <f>IFERROR(TEXTBEFORE('周计划明细'!D196,":"),"")</f>
        <v/>
      </c>
      <c r="D584" s="6">
        <f>IFERROR(VALUE(TEXTBEFORE(TEXTAFTER('周计划明细'!D196,"|"),"h")),0)</f>
        <v/>
      </c>
    </row>
    <row r="585">
      <c r="A585" s="6" t="n">
        <v>196</v>
      </c>
      <c r="B585" s="6" t="inlineStr">
        <is>
          <t>下午</t>
        </is>
      </c>
      <c r="C585" s="6">
        <f>IFERROR(TEXTBEFORE('周计划明细'!E196,":"),"")</f>
        <v/>
      </c>
      <c r="D585" s="6">
        <f>IFERROR(VALUE(TEXTBEFORE(TEXTAFTER('周计划明细'!E196,"|"),"h")),0)</f>
        <v/>
      </c>
    </row>
    <row r="586">
      <c r="A586" s="6" t="n">
        <v>196</v>
      </c>
      <c r="B586" s="6" t="inlineStr">
        <is>
          <t>晚上</t>
        </is>
      </c>
      <c r="C586" s="6">
        <f>IFERROR(TEXTBEFORE('周计划明细'!F196,":"),"")</f>
        <v/>
      </c>
      <c r="D586" s="6">
        <f>IFERROR(VALUE(TEXTBEFORE(TEXTAFTER('周计划明细'!F196,"|"),"h")),0)</f>
        <v/>
      </c>
    </row>
    <row r="587">
      <c r="A587" s="6" t="n">
        <v>197</v>
      </c>
      <c r="B587" s="6" t="inlineStr">
        <is>
          <t>上午</t>
        </is>
      </c>
      <c r="C587" s="6">
        <f>IFERROR(TEXTBEFORE('周计划明细'!D197,":"),"")</f>
        <v/>
      </c>
      <c r="D587" s="6">
        <f>IFERROR(VALUE(TEXTBEFORE(TEXTAFTER('周计划明细'!D197,"|"),"h")),0)</f>
        <v/>
      </c>
    </row>
    <row r="588">
      <c r="A588" s="6" t="n">
        <v>197</v>
      </c>
      <c r="B588" s="6" t="inlineStr">
        <is>
          <t>下午</t>
        </is>
      </c>
      <c r="C588" s="6">
        <f>IFERROR(TEXTBEFORE('周计划明细'!E197,":"),"")</f>
        <v/>
      </c>
      <c r="D588" s="6">
        <f>IFERROR(VALUE(TEXTBEFORE(TEXTAFTER('周计划明细'!E197,"|"),"h")),0)</f>
        <v/>
      </c>
    </row>
    <row r="589">
      <c r="A589" s="6" t="n">
        <v>197</v>
      </c>
      <c r="B589" s="6" t="inlineStr">
        <is>
          <t>晚上</t>
        </is>
      </c>
      <c r="C589" s="6">
        <f>IFERROR(TEXTBEFORE('周计划明细'!F197,":"),"")</f>
        <v/>
      </c>
      <c r="D589" s="6">
        <f>IFERROR(VALUE(TEXTBEFORE(TEXTAFTER('周计划明细'!F197,"|"),"h")),0)</f>
        <v/>
      </c>
    </row>
    <row r="590">
      <c r="A590" s="6" t="n">
        <v>198</v>
      </c>
      <c r="B590" s="6" t="inlineStr">
        <is>
          <t>上午</t>
        </is>
      </c>
      <c r="C590" s="6">
        <f>IFERROR(TEXTBEFORE('周计划明细'!D198,":"),"")</f>
        <v/>
      </c>
      <c r="D590" s="6">
        <f>IFERROR(VALUE(TEXTBEFORE(TEXTAFTER('周计划明细'!D198,"|"),"h")),0)</f>
        <v/>
      </c>
    </row>
    <row r="591">
      <c r="A591" s="6" t="n">
        <v>198</v>
      </c>
      <c r="B591" s="6" t="inlineStr">
        <is>
          <t>下午</t>
        </is>
      </c>
      <c r="C591" s="6">
        <f>IFERROR(TEXTBEFORE('周计划明细'!E198,":"),"")</f>
        <v/>
      </c>
      <c r="D591" s="6">
        <f>IFERROR(VALUE(TEXTBEFORE(TEXTAFTER('周计划明细'!E198,"|"),"h")),0)</f>
        <v/>
      </c>
    </row>
    <row r="592">
      <c r="A592" s="6" t="n">
        <v>198</v>
      </c>
      <c r="B592" s="6" t="inlineStr">
        <is>
          <t>晚上</t>
        </is>
      </c>
      <c r="C592" s="6">
        <f>IFERROR(TEXTBEFORE('周计划明细'!F198,":"),"")</f>
        <v/>
      </c>
      <c r="D592" s="6">
        <f>IFERROR(VALUE(TEXTBEFORE(TEXTAFTER('周计划明细'!F198,"|"),"h")),0)</f>
        <v/>
      </c>
    </row>
    <row r="593">
      <c r="A593" s="6" t="n">
        <v>199</v>
      </c>
      <c r="B593" s="6" t="inlineStr">
        <is>
          <t>上午</t>
        </is>
      </c>
      <c r="C593" s="6">
        <f>IFERROR(TEXTBEFORE('周计划明细'!D199,":"),"")</f>
        <v/>
      </c>
      <c r="D593" s="6">
        <f>IFERROR(VALUE(TEXTBEFORE(TEXTAFTER('周计划明细'!D199,"|"),"h")),0)</f>
        <v/>
      </c>
    </row>
    <row r="594">
      <c r="A594" s="6" t="n">
        <v>199</v>
      </c>
      <c r="B594" s="6" t="inlineStr">
        <is>
          <t>下午</t>
        </is>
      </c>
      <c r="C594" s="6">
        <f>IFERROR(TEXTBEFORE('周计划明细'!E199,":"),"")</f>
        <v/>
      </c>
      <c r="D594" s="6">
        <f>IFERROR(VALUE(TEXTBEFORE(TEXTAFTER('周计划明细'!E199,"|"),"h")),0)</f>
        <v/>
      </c>
    </row>
    <row r="595">
      <c r="A595" s="6" t="n">
        <v>199</v>
      </c>
      <c r="B595" s="6" t="inlineStr">
        <is>
          <t>晚上</t>
        </is>
      </c>
      <c r="C595" s="6">
        <f>IFERROR(TEXTBEFORE('周计划明细'!F199,":"),"")</f>
        <v/>
      </c>
      <c r="D595" s="6">
        <f>IFERROR(VALUE(TEXTBEFORE(TEXTAFTER('周计划明细'!F199,"|"),"h")),0)</f>
        <v/>
      </c>
    </row>
    <row r="596">
      <c r="A596" s="6" t="n">
        <v>200</v>
      </c>
      <c r="B596" s="6" t="inlineStr">
        <is>
          <t>上午</t>
        </is>
      </c>
      <c r="C596" s="6">
        <f>IFERROR(TEXTBEFORE('周计划明细'!D200,":"),"")</f>
        <v/>
      </c>
      <c r="D596" s="6">
        <f>IFERROR(VALUE(TEXTBEFORE(TEXTAFTER('周计划明细'!D200,"|"),"h")),0)</f>
        <v/>
      </c>
    </row>
    <row r="597">
      <c r="A597" s="6" t="n">
        <v>200</v>
      </c>
      <c r="B597" s="6" t="inlineStr">
        <is>
          <t>下午</t>
        </is>
      </c>
      <c r="C597" s="6">
        <f>IFERROR(TEXTBEFORE('周计划明细'!E200,":"),"")</f>
        <v/>
      </c>
      <c r="D597" s="6">
        <f>IFERROR(VALUE(TEXTBEFORE(TEXTAFTER('周计划明细'!E200,"|"),"h")),0)</f>
        <v/>
      </c>
    </row>
    <row r="598">
      <c r="A598" s="6" t="n">
        <v>200</v>
      </c>
      <c r="B598" s="6" t="inlineStr">
        <is>
          <t>晚上</t>
        </is>
      </c>
      <c r="C598" s="6">
        <f>IFERROR(TEXTBEFORE('周计划明细'!F200,":"),"")</f>
        <v/>
      </c>
      <c r="D598" s="6">
        <f>IFERROR(VALUE(TEXTBEFORE(TEXTAFTER('周计划明细'!F200,"|"),"h")),0)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2026-07-15T06:23:33Z</dcterms:created>
  <dcterms:modified xmlns:dcterms="http://purl.org/dc/terms/" xmlns:xsi="http://www.w3.org/2001/XMLSchema-instance" xsi:type="dcterms:W3CDTF">2026-07-15T06:23:33Z</dcterms:modified>
</cp:coreProperties>
</file>